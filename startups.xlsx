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164FB5F-FFF7-4A25-9596-E44E452617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6" i="1" l="1"/>
  <c r="Z186" i="1"/>
  <c r="Y186" i="1"/>
  <c r="L186" i="1"/>
  <c r="M186" i="1" s="1"/>
  <c r="K186" i="1"/>
  <c r="AA185" i="1"/>
  <c r="Z185" i="1"/>
  <c r="Y185" i="1"/>
  <c r="L185" i="1"/>
  <c r="M185" i="1" s="1"/>
  <c r="K185" i="1"/>
  <c r="AA184" i="1"/>
  <c r="Z184" i="1"/>
  <c r="Y184" i="1"/>
  <c r="L184" i="1"/>
  <c r="M184" i="1" s="1"/>
  <c r="K184" i="1"/>
  <c r="AA183" i="1"/>
  <c r="Z183" i="1"/>
  <c r="Y183" i="1"/>
  <c r="L183" i="1"/>
  <c r="M183" i="1" s="1"/>
  <c r="K183" i="1"/>
  <c r="AA182" i="1"/>
  <c r="Z182" i="1"/>
  <c r="Y182" i="1"/>
  <c r="L182" i="1"/>
  <c r="M182" i="1" s="1"/>
  <c r="K182" i="1"/>
  <c r="AA180" i="1"/>
  <c r="Z180" i="1"/>
  <c r="Y180" i="1"/>
  <c r="L180" i="1"/>
  <c r="M180" i="1" s="1"/>
  <c r="K180" i="1"/>
  <c r="AA179" i="1"/>
  <c r="Z179" i="1"/>
  <c r="Y179" i="1"/>
  <c r="L179" i="1"/>
  <c r="M179" i="1" s="1"/>
  <c r="K179" i="1"/>
  <c r="AA178" i="1"/>
  <c r="Z178" i="1"/>
  <c r="Y178" i="1"/>
  <c r="L178" i="1"/>
  <c r="M178" i="1" s="1"/>
  <c r="K178" i="1"/>
  <c r="AA177" i="1"/>
  <c r="Z177" i="1"/>
  <c r="Y177" i="1"/>
  <c r="L177" i="1"/>
  <c r="M177" i="1" s="1"/>
  <c r="K177" i="1"/>
  <c r="AA176" i="1"/>
  <c r="Z176" i="1"/>
  <c r="Y176" i="1"/>
  <c r="L176" i="1"/>
  <c r="M176" i="1" s="1"/>
  <c r="K176" i="1"/>
  <c r="AA175" i="1"/>
  <c r="Z175" i="1"/>
  <c r="Y175" i="1"/>
  <c r="L175" i="1"/>
  <c r="M175" i="1" s="1"/>
  <c r="K175" i="1"/>
  <c r="AA174" i="1"/>
  <c r="Z174" i="1"/>
  <c r="Y174" i="1"/>
  <c r="L174" i="1"/>
  <c r="M174" i="1" s="1"/>
  <c r="K174" i="1"/>
  <c r="AA173" i="1"/>
  <c r="Z173" i="1"/>
  <c r="Y173" i="1"/>
  <c r="L173" i="1"/>
  <c r="M173" i="1" s="1"/>
  <c r="K173" i="1"/>
  <c r="AA172" i="1"/>
  <c r="Z172" i="1"/>
  <c r="Y172" i="1"/>
  <c r="L172" i="1"/>
  <c r="M172" i="1" s="1"/>
  <c r="K172" i="1"/>
  <c r="AA171" i="1"/>
  <c r="Z171" i="1"/>
  <c r="Y171" i="1"/>
  <c r="M171" i="1"/>
  <c r="L171" i="1"/>
  <c r="K171" i="1"/>
  <c r="AA170" i="1"/>
  <c r="Z170" i="1"/>
  <c r="Y170" i="1"/>
  <c r="L170" i="1"/>
  <c r="M170" i="1" s="1"/>
  <c r="K170" i="1"/>
  <c r="AA169" i="1"/>
  <c r="Z169" i="1"/>
  <c r="Y169" i="1"/>
  <c r="L169" i="1"/>
  <c r="M169" i="1" s="1"/>
  <c r="K169" i="1"/>
  <c r="AA168" i="1"/>
  <c r="Z168" i="1"/>
  <c r="Y168" i="1"/>
  <c r="M168" i="1"/>
  <c r="L168" i="1"/>
  <c r="K168" i="1"/>
  <c r="AA167" i="1"/>
  <c r="Z167" i="1"/>
  <c r="Y167" i="1"/>
  <c r="M167" i="1"/>
  <c r="L167" i="1"/>
  <c r="K167" i="1"/>
  <c r="AA166" i="1"/>
  <c r="Z166" i="1"/>
  <c r="Y166" i="1"/>
  <c r="M166" i="1"/>
  <c r="L166" i="1"/>
  <c r="K166" i="1"/>
  <c r="AA165" i="1"/>
  <c r="Z165" i="1"/>
  <c r="Y165" i="1"/>
  <c r="M165" i="1"/>
  <c r="L165" i="1"/>
  <c r="K165" i="1"/>
  <c r="AA164" i="1"/>
  <c r="Z164" i="1"/>
  <c r="Y164" i="1"/>
  <c r="M164" i="1"/>
  <c r="L164" i="1"/>
  <c r="K164" i="1"/>
  <c r="AA163" i="1"/>
  <c r="Z163" i="1"/>
  <c r="Y163" i="1"/>
  <c r="M163" i="1"/>
  <c r="L163" i="1"/>
  <c r="K163" i="1"/>
  <c r="AA162" i="1"/>
  <c r="Z162" i="1"/>
  <c r="Y162" i="1"/>
  <c r="M162" i="1"/>
  <c r="L162" i="1"/>
  <c r="K162" i="1"/>
  <c r="AA161" i="1"/>
  <c r="Z161" i="1"/>
  <c r="Y161" i="1"/>
  <c r="M161" i="1"/>
  <c r="L161" i="1"/>
  <c r="K161" i="1"/>
  <c r="AA160" i="1"/>
  <c r="Z160" i="1"/>
  <c r="Y160" i="1"/>
  <c r="M160" i="1"/>
  <c r="L160" i="1"/>
  <c r="K160" i="1"/>
  <c r="AA159" i="1"/>
  <c r="Z159" i="1"/>
  <c r="Y159" i="1"/>
  <c r="M159" i="1"/>
  <c r="L159" i="1"/>
  <c r="K159" i="1"/>
  <c r="AA158" i="1"/>
  <c r="Z158" i="1"/>
  <c r="Y158" i="1"/>
  <c r="M158" i="1"/>
  <c r="L158" i="1"/>
  <c r="K158" i="1"/>
  <c r="AA157" i="1"/>
  <c r="Z157" i="1"/>
  <c r="Y157" i="1"/>
  <c r="M157" i="1"/>
  <c r="L157" i="1"/>
  <c r="K157" i="1"/>
  <c r="AA156" i="1"/>
  <c r="Z156" i="1"/>
  <c r="Y156" i="1"/>
  <c r="M156" i="1"/>
  <c r="L156" i="1"/>
  <c r="K156" i="1"/>
  <c r="AA155" i="1"/>
  <c r="Z155" i="1"/>
  <c r="Y155" i="1"/>
  <c r="M155" i="1"/>
  <c r="L155" i="1"/>
  <c r="K155" i="1"/>
  <c r="AA154" i="1"/>
  <c r="Z154" i="1"/>
  <c r="Y154" i="1"/>
  <c r="M154" i="1"/>
  <c r="L154" i="1"/>
  <c r="K154" i="1"/>
  <c r="AA153" i="1"/>
  <c r="Z153" i="1"/>
  <c r="Y153" i="1"/>
  <c r="M153" i="1"/>
  <c r="L153" i="1"/>
  <c r="K153" i="1"/>
  <c r="AA152" i="1"/>
  <c r="Z152" i="1"/>
  <c r="Y152" i="1"/>
  <c r="M152" i="1"/>
  <c r="L152" i="1"/>
  <c r="K152" i="1"/>
  <c r="AA151" i="1"/>
  <c r="Z151" i="1"/>
  <c r="Y151" i="1"/>
  <c r="M151" i="1"/>
  <c r="L151" i="1"/>
  <c r="K151" i="1"/>
  <c r="AA150" i="1"/>
  <c r="Z150" i="1"/>
  <c r="Y150" i="1"/>
  <c r="M150" i="1"/>
  <c r="L150" i="1"/>
  <c r="K150" i="1"/>
  <c r="AA149" i="1"/>
  <c r="Z149" i="1"/>
  <c r="Y149" i="1"/>
  <c r="M149" i="1"/>
  <c r="L149" i="1"/>
  <c r="K149" i="1"/>
  <c r="AA148" i="1"/>
  <c r="Z148" i="1"/>
  <c r="Y148" i="1"/>
  <c r="M148" i="1"/>
  <c r="L148" i="1"/>
  <c r="K148" i="1"/>
  <c r="AA147" i="1"/>
  <c r="Z147" i="1"/>
  <c r="Y147" i="1"/>
  <c r="M147" i="1"/>
  <c r="L147" i="1"/>
  <c r="K147" i="1"/>
  <c r="AA146" i="1"/>
  <c r="Z146" i="1"/>
  <c r="Y146" i="1"/>
  <c r="M146" i="1"/>
  <c r="L146" i="1"/>
  <c r="K146" i="1"/>
  <c r="AA145" i="1"/>
  <c r="Z145" i="1"/>
  <c r="Y145" i="1"/>
  <c r="M145" i="1"/>
  <c r="L145" i="1"/>
  <c r="K145" i="1"/>
  <c r="AA144" i="1"/>
  <c r="Z144" i="1"/>
  <c r="Y144" i="1"/>
  <c r="M144" i="1"/>
  <c r="L144" i="1"/>
  <c r="K144" i="1"/>
  <c r="AA143" i="1"/>
  <c r="Z143" i="1"/>
  <c r="Y143" i="1"/>
  <c r="M143" i="1"/>
  <c r="L143" i="1"/>
  <c r="K143" i="1"/>
  <c r="AA142" i="1"/>
  <c r="Z142" i="1"/>
  <c r="Y142" i="1"/>
  <c r="M142" i="1"/>
  <c r="L142" i="1"/>
  <c r="K142" i="1"/>
  <c r="AA141" i="1"/>
  <c r="Z141" i="1"/>
  <c r="Y141" i="1"/>
  <c r="M141" i="1"/>
  <c r="L141" i="1"/>
  <c r="K141" i="1"/>
  <c r="AA140" i="1"/>
  <c r="Z140" i="1"/>
  <c r="Y140" i="1"/>
  <c r="M140" i="1"/>
  <c r="L140" i="1"/>
  <c r="K140" i="1"/>
  <c r="AA139" i="1"/>
  <c r="Z139" i="1"/>
  <c r="Y139" i="1"/>
  <c r="M139" i="1"/>
  <c r="L139" i="1"/>
  <c r="K139" i="1"/>
  <c r="AA138" i="1"/>
  <c r="Z138" i="1"/>
  <c r="Y138" i="1"/>
  <c r="M138" i="1"/>
  <c r="L138" i="1"/>
  <c r="K138" i="1"/>
  <c r="AA137" i="1"/>
  <c r="Z137" i="1"/>
  <c r="Y137" i="1"/>
  <c r="M137" i="1"/>
  <c r="L137" i="1"/>
  <c r="K137" i="1"/>
  <c r="AA136" i="1"/>
  <c r="Z136" i="1"/>
  <c r="Y136" i="1"/>
  <c r="M136" i="1"/>
  <c r="L136" i="1"/>
  <c r="K136" i="1"/>
  <c r="AA135" i="1"/>
  <c r="Z135" i="1"/>
  <c r="Y135" i="1"/>
  <c r="M135" i="1"/>
  <c r="L135" i="1"/>
  <c r="K135" i="1"/>
  <c r="AA134" i="1"/>
  <c r="Z134" i="1"/>
  <c r="Y134" i="1"/>
  <c r="M134" i="1"/>
  <c r="L134" i="1"/>
  <c r="K134" i="1"/>
  <c r="AA133" i="1"/>
  <c r="Z133" i="1"/>
  <c r="Y133" i="1"/>
  <c r="M133" i="1"/>
  <c r="L133" i="1"/>
  <c r="K133" i="1"/>
  <c r="AA132" i="1"/>
  <c r="Z132" i="1"/>
  <c r="Y132" i="1"/>
  <c r="M132" i="1"/>
  <c r="L132" i="1"/>
  <c r="K132" i="1"/>
  <c r="AA131" i="1"/>
  <c r="Z131" i="1"/>
  <c r="Y131" i="1"/>
  <c r="M131" i="1"/>
  <c r="L131" i="1"/>
  <c r="K131" i="1"/>
  <c r="AA130" i="1"/>
  <c r="Z130" i="1"/>
  <c r="Y130" i="1"/>
  <c r="M130" i="1"/>
  <c r="L130" i="1"/>
  <c r="K130" i="1"/>
  <c r="AA129" i="1"/>
  <c r="Z129" i="1"/>
  <c r="Y129" i="1"/>
  <c r="M129" i="1"/>
  <c r="L129" i="1"/>
  <c r="K129" i="1"/>
  <c r="AA128" i="1"/>
  <c r="Z128" i="1"/>
  <c r="Y128" i="1"/>
  <c r="M128" i="1"/>
  <c r="L128" i="1"/>
  <c r="K128" i="1"/>
  <c r="AA127" i="1"/>
  <c r="Z127" i="1"/>
  <c r="Y127" i="1"/>
  <c r="M127" i="1"/>
  <c r="L127" i="1"/>
  <c r="K127" i="1"/>
  <c r="AA126" i="1"/>
  <c r="Z126" i="1"/>
  <c r="Y126" i="1"/>
  <c r="M126" i="1"/>
  <c r="L126" i="1"/>
  <c r="K126" i="1"/>
  <c r="AA125" i="1"/>
  <c r="Z125" i="1"/>
  <c r="Y125" i="1"/>
  <c r="M125" i="1"/>
  <c r="L125" i="1"/>
  <c r="K125" i="1"/>
  <c r="AA124" i="1"/>
  <c r="Z124" i="1"/>
  <c r="Y124" i="1"/>
  <c r="M124" i="1"/>
  <c r="L124" i="1"/>
  <c r="K124" i="1"/>
  <c r="AA123" i="1"/>
  <c r="Z123" i="1"/>
  <c r="Y123" i="1"/>
  <c r="M123" i="1"/>
  <c r="L123" i="1"/>
  <c r="K123" i="1"/>
  <c r="AA122" i="1"/>
  <c r="Z122" i="1"/>
  <c r="Y122" i="1"/>
  <c r="M122" i="1"/>
  <c r="L122" i="1"/>
  <c r="K122" i="1"/>
  <c r="AA121" i="1"/>
  <c r="Z121" i="1"/>
  <c r="Y121" i="1"/>
  <c r="M121" i="1"/>
  <c r="L121" i="1"/>
  <c r="K121" i="1"/>
  <c r="AA120" i="1"/>
  <c r="Z120" i="1"/>
  <c r="Y120" i="1"/>
  <c r="M120" i="1"/>
  <c r="L120" i="1"/>
  <c r="K120" i="1"/>
  <c r="AA119" i="1"/>
  <c r="Z119" i="1"/>
  <c r="Y119" i="1"/>
  <c r="M119" i="1"/>
  <c r="L119" i="1"/>
  <c r="K119" i="1"/>
  <c r="AA118" i="1"/>
  <c r="Z118" i="1"/>
  <c r="Y118" i="1"/>
  <c r="M118" i="1"/>
  <c r="L118" i="1"/>
  <c r="K118" i="1"/>
  <c r="AA117" i="1"/>
  <c r="Z117" i="1"/>
  <c r="Y117" i="1"/>
  <c r="M117" i="1"/>
  <c r="L117" i="1"/>
  <c r="K117" i="1"/>
  <c r="AA116" i="1"/>
  <c r="Z116" i="1"/>
  <c r="Y116" i="1"/>
  <c r="M116" i="1"/>
  <c r="L116" i="1"/>
  <c r="K116" i="1"/>
  <c r="AA115" i="1"/>
  <c r="Z115" i="1"/>
  <c r="Y115" i="1"/>
  <c r="M115" i="1"/>
  <c r="L115" i="1"/>
  <c r="K115" i="1"/>
  <c r="AA114" i="1"/>
  <c r="Z114" i="1"/>
  <c r="Y114" i="1"/>
  <c r="M114" i="1"/>
  <c r="L114" i="1"/>
  <c r="K114" i="1"/>
  <c r="AA113" i="1"/>
  <c r="Z113" i="1"/>
  <c r="Y113" i="1"/>
  <c r="M113" i="1"/>
  <c r="L113" i="1"/>
  <c r="K113" i="1"/>
  <c r="AA112" i="1"/>
  <c r="Z112" i="1"/>
  <c r="Y112" i="1"/>
  <c r="M112" i="1"/>
  <c r="L112" i="1"/>
  <c r="K112" i="1"/>
  <c r="AA111" i="1"/>
  <c r="Z111" i="1"/>
  <c r="Y111" i="1"/>
  <c r="M111" i="1"/>
  <c r="L111" i="1"/>
  <c r="K111" i="1"/>
  <c r="AA110" i="1"/>
  <c r="Z110" i="1"/>
  <c r="Y110" i="1"/>
  <c r="M110" i="1"/>
  <c r="L110" i="1"/>
  <c r="K110" i="1"/>
  <c r="AA109" i="1"/>
  <c r="Z109" i="1"/>
  <c r="Y109" i="1"/>
  <c r="M109" i="1"/>
  <c r="L109" i="1"/>
  <c r="K109" i="1"/>
  <c r="AA108" i="1"/>
  <c r="Z108" i="1"/>
  <c r="Y108" i="1"/>
  <c r="M108" i="1"/>
  <c r="L108" i="1"/>
  <c r="K108" i="1"/>
  <c r="AA107" i="1"/>
  <c r="Z107" i="1"/>
  <c r="Y107" i="1"/>
  <c r="M107" i="1"/>
  <c r="L107" i="1"/>
  <c r="K107" i="1"/>
  <c r="AA106" i="1"/>
  <c r="Z106" i="1"/>
  <c r="Y106" i="1"/>
  <c r="M106" i="1"/>
  <c r="L106" i="1"/>
  <c r="K106" i="1"/>
  <c r="AA105" i="1"/>
  <c r="Z105" i="1"/>
  <c r="Y105" i="1"/>
  <c r="M105" i="1"/>
  <c r="L105" i="1"/>
  <c r="K105" i="1"/>
  <c r="AA104" i="1"/>
  <c r="Z104" i="1"/>
  <c r="Y104" i="1"/>
  <c r="M104" i="1"/>
  <c r="L104" i="1"/>
  <c r="K104" i="1"/>
  <c r="AA103" i="1"/>
  <c r="Z103" i="1"/>
  <c r="Y103" i="1"/>
  <c r="M103" i="1"/>
  <c r="L103" i="1"/>
  <c r="K103" i="1"/>
  <c r="AA102" i="1"/>
  <c r="Z102" i="1"/>
  <c r="Y102" i="1"/>
  <c r="M102" i="1"/>
  <c r="L102" i="1"/>
  <c r="K102" i="1"/>
  <c r="AA101" i="1"/>
  <c r="Z101" i="1"/>
  <c r="Y101" i="1"/>
  <c r="M101" i="1"/>
  <c r="L101" i="1"/>
  <c r="K101" i="1"/>
  <c r="AA100" i="1"/>
  <c r="Z100" i="1"/>
  <c r="Y100" i="1"/>
  <c r="M100" i="1"/>
  <c r="L100" i="1"/>
  <c r="K100" i="1"/>
  <c r="AA99" i="1"/>
  <c r="Z99" i="1"/>
  <c r="Y99" i="1"/>
  <c r="M99" i="1"/>
  <c r="L99" i="1"/>
  <c r="K99" i="1"/>
  <c r="AA98" i="1"/>
  <c r="Z98" i="1"/>
  <c r="Y98" i="1"/>
  <c r="M98" i="1"/>
  <c r="L98" i="1"/>
  <c r="K98" i="1"/>
  <c r="AA97" i="1"/>
  <c r="Z97" i="1"/>
  <c r="Y97" i="1"/>
  <c r="M97" i="1"/>
  <c r="L97" i="1"/>
  <c r="K97" i="1"/>
  <c r="AA96" i="1"/>
  <c r="Z96" i="1"/>
  <c r="Y96" i="1"/>
  <c r="M96" i="1"/>
  <c r="L96" i="1"/>
  <c r="K96" i="1"/>
  <c r="AA95" i="1"/>
  <c r="Z95" i="1"/>
  <c r="Y95" i="1"/>
  <c r="M95" i="1"/>
  <c r="L95" i="1"/>
  <c r="K95" i="1"/>
  <c r="AA94" i="1"/>
  <c r="Z94" i="1"/>
  <c r="Y94" i="1"/>
  <c r="M94" i="1"/>
  <c r="L94" i="1"/>
  <c r="K94" i="1"/>
  <c r="AA93" i="1"/>
  <c r="Z93" i="1"/>
  <c r="Y93" i="1"/>
  <c r="M93" i="1"/>
  <c r="L93" i="1"/>
  <c r="K93" i="1"/>
  <c r="AA92" i="1"/>
  <c r="Z92" i="1"/>
  <c r="Y92" i="1"/>
  <c r="M92" i="1"/>
  <c r="L92" i="1"/>
  <c r="K92" i="1"/>
  <c r="AA91" i="1"/>
  <c r="Z91" i="1"/>
  <c r="Y91" i="1"/>
  <c r="M91" i="1"/>
  <c r="L91" i="1"/>
  <c r="K91" i="1"/>
  <c r="AA90" i="1"/>
  <c r="Z90" i="1"/>
  <c r="Y90" i="1"/>
  <c r="M90" i="1"/>
  <c r="L90" i="1"/>
  <c r="K90" i="1"/>
  <c r="AA89" i="1"/>
  <c r="Z89" i="1"/>
  <c r="Y89" i="1"/>
  <c r="M89" i="1"/>
  <c r="L89" i="1"/>
  <c r="K89" i="1"/>
  <c r="AA88" i="1"/>
  <c r="Z88" i="1"/>
  <c r="Y88" i="1"/>
  <c r="M88" i="1"/>
  <c r="L88" i="1"/>
  <c r="K88" i="1"/>
  <c r="AA87" i="1"/>
  <c r="Z87" i="1"/>
  <c r="Y87" i="1"/>
  <c r="M87" i="1"/>
  <c r="L87" i="1"/>
  <c r="K87" i="1"/>
  <c r="AA86" i="1"/>
  <c r="Z86" i="1"/>
  <c r="Y86" i="1"/>
  <c r="M86" i="1"/>
  <c r="L86" i="1"/>
  <c r="K86" i="1"/>
  <c r="AA85" i="1"/>
  <c r="Z85" i="1"/>
  <c r="Y85" i="1"/>
  <c r="M85" i="1"/>
  <c r="L85" i="1"/>
  <c r="K85" i="1"/>
  <c r="AA84" i="1"/>
  <c r="Z84" i="1"/>
  <c r="Y84" i="1"/>
  <c r="M84" i="1"/>
  <c r="L84" i="1"/>
  <c r="K84" i="1"/>
  <c r="AA83" i="1"/>
  <c r="Z83" i="1"/>
  <c r="Y83" i="1"/>
  <c r="M83" i="1"/>
  <c r="L83" i="1"/>
  <c r="K83" i="1"/>
  <c r="AA82" i="1"/>
  <c r="Z82" i="1"/>
  <c r="Y82" i="1"/>
  <c r="M82" i="1"/>
  <c r="L82" i="1"/>
  <c r="K82" i="1"/>
  <c r="AA81" i="1"/>
  <c r="Z81" i="1"/>
  <c r="Y81" i="1"/>
  <c r="M81" i="1"/>
  <c r="L81" i="1"/>
  <c r="K81" i="1"/>
  <c r="AA80" i="1"/>
  <c r="Z80" i="1"/>
  <c r="Y80" i="1"/>
  <c r="M80" i="1"/>
  <c r="L80" i="1"/>
  <c r="K80" i="1"/>
  <c r="AA79" i="1"/>
  <c r="Z79" i="1"/>
  <c r="Y79" i="1"/>
  <c r="M79" i="1"/>
  <c r="L79" i="1"/>
  <c r="K79" i="1"/>
  <c r="AA78" i="1"/>
  <c r="Z78" i="1"/>
  <c r="Y78" i="1"/>
  <c r="M78" i="1"/>
  <c r="L78" i="1"/>
  <c r="K78" i="1"/>
  <c r="AA77" i="1"/>
  <c r="Z77" i="1"/>
  <c r="Y77" i="1"/>
  <c r="M77" i="1"/>
  <c r="L77" i="1"/>
  <c r="K77" i="1"/>
  <c r="AA76" i="1"/>
  <c r="Z76" i="1"/>
  <c r="Y76" i="1"/>
  <c r="M76" i="1"/>
  <c r="L76" i="1"/>
  <c r="K76" i="1"/>
  <c r="AA75" i="1"/>
  <c r="Z75" i="1"/>
  <c r="Y75" i="1"/>
  <c r="M75" i="1"/>
  <c r="L75" i="1"/>
  <c r="K75" i="1"/>
  <c r="AA74" i="1"/>
  <c r="Z74" i="1"/>
  <c r="Y74" i="1"/>
  <c r="M74" i="1"/>
  <c r="L74" i="1"/>
  <c r="K74" i="1"/>
  <c r="AA73" i="1"/>
  <c r="Z73" i="1"/>
  <c r="Y73" i="1"/>
  <c r="M73" i="1"/>
  <c r="L73" i="1"/>
  <c r="K73" i="1"/>
  <c r="AA72" i="1"/>
  <c r="Z72" i="1"/>
  <c r="Y72" i="1"/>
  <c r="M72" i="1"/>
  <c r="L72" i="1"/>
  <c r="K72" i="1"/>
  <c r="AA71" i="1"/>
  <c r="Z71" i="1"/>
  <c r="Y71" i="1"/>
  <c r="M71" i="1"/>
  <c r="L71" i="1"/>
  <c r="K71" i="1"/>
  <c r="AA70" i="1"/>
  <c r="Z70" i="1"/>
  <c r="Y70" i="1"/>
  <c r="M70" i="1"/>
  <c r="L70" i="1"/>
  <c r="K70" i="1"/>
  <c r="AA69" i="1"/>
  <c r="Z69" i="1"/>
  <c r="Y69" i="1"/>
  <c r="M69" i="1"/>
  <c r="L69" i="1"/>
  <c r="K69" i="1"/>
  <c r="AA68" i="1"/>
  <c r="Z68" i="1"/>
  <c r="Y68" i="1"/>
  <c r="M68" i="1"/>
  <c r="L68" i="1"/>
  <c r="K68" i="1"/>
  <c r="AA67" i="1"/>
  <c r="Z67" i="1"/>
  <c r="Y67" i="1"/>
  <c r="M67" i="1"/>
  <c r="L67" i="1"/>
  <c r="K67" i="1"/>
  <c r="AA66" i="1"/>
  <c r="Z66" i="1"/>
  <c r="Y66" i="1"/>
  <c r="M66" i="1"/>
  <c r="L66" i="1"/>
  <c r="K66" i="1"/>
  <c r="AA65" i="1"/>
  <c r="Z65" i="1"/>
  <c r="Y65" i="1"/>
  <c r="M65" i="1"/>
  <c r="L65" i="1"/>
  <c r="K65" i="1"/>
  <c r="AA64" i="1"/>
  <c r="Z64" i="1"/>
  <c r="Y64" i="1"/>
  <c r="M64" i="1"/>
  <c r="L64" i="1"/>
  <c r="K64" i="1"/>
  <c r="AA63" i="1"/>
  <c r="Z63" i="1"/>
  <c r="Y63" i="1"/>
  <c r="M63" i="1"/>
  <c r="L63" i="1"/>
  <c r="K63" i="1"/>
  <c r="AA62" i="1"/>
  <c r="Z62" i="1"/>
  <c r="Y62" i="1"/>
  <c r="M62" i="1"/>
  <c r="L62" i="1"/>
  <c r="K62" i="1"/>
  <c r="AA61" i="1"/>
  <c r="Z61" i="1"/>
  <c r="Y61" i="1"/>
  <c r="M61" i="1"/>
  <c r="L61" i="1"/>
  <c r="K61" i="1"/>
  <c r="AA60" i="1"/>
  <c r="Z60" i="1"/>
  <c r="Y60" i="1"/>
  <c r="M60" i="1"/>
  <c r="L60" i="1"/>
  <c r="K60" i="1"/>
  <c r="AA59" i="1"/>
  <c r="Z59" i="1"/>
  <c r="Y59" i="1"/>
  <c r="M59" i="1"/>
  <c r="L59" i="1"/>
  <c r="K59" i="1"/>
  <c r="AA58" i="1"/>
  <c r="Z58" i="1"/>
  <c r="Y58" i="1"/>
  <c r="M58" i="1"/>
  <c r="L58" i="1"/>
  <c r="K58" i="1"/>
  <c r="AA57" i="1"/>
  <c r="Z57" i="1"/>
  <c r="Y57" i="1"/>
  <c r="M57" i="1"/>
  <c r="L57" i="1"/>
  <c r="K57" i="1"/>
  <c r="AA56" i="1"/>
  <c r="Z56" i="1"/>
  <c r="Y56" i="1"/>
  <c r="M56" i="1"/>
  <c r="L56" i="1"/>
  <c r="K56" i="1"/>
  <c r="AA55" i="1"/>
  <c r="Z55" i="1"/>
  <c r="Y55" i="1"/>
  <c r="M55" i="1"/>
  <c r="L55" i="1"/>
  <c r="K55" i="1"/>
  <c r="AA54" i="1"/>
  <c r="Z54" i="1"/>
  <c r="Y54" i="1"/>
  <c r="M54" i="1"/>
  <c r="L54" i="1"/>
  <c r="K54" i="1"/>
  <c r="AA53" i="1"/>
  <c r="Z53" i="1"/>
  <c r="Y53" i="1"/>
  <c r="M53" i="1"/>
  <c r="L53" i="1"/>
  <c r="K53" i="1"/>
  <c r="AA52" i="1"/>
  <c r="Z52" i="1"/>
  <c r="Y52" i="1"/>
  <c r="M52" i="1"/>
  <c r="L52" i="1"/>
  <c r="K52" i="1"/>
  <c r="AA51" i="1"/>
  <c r="Z51" i="1"/>
  <c r="Y51" i="1"/>
  <c r="M51" i="1"/>
  <c r="L51" i="1"/>
  <c r="K51" i="1"/>
  <c r="AA50" i="1"/>
  <c r="Z50" i="1"/>
  <c r="Y50" i="1"/>
  <c r="M50" i="1"/>
  <c r="L50" i="1"/>
  <c r="K50" i="1"/>
  <c r="AA49" i="1"/>
  <c r="Z49" i="1"/>
  <c r="Y49" i="1"/>
  <c r="M49" i="1"/>
  <c r="L49" i="1"/>
  <c r="K49" i="1"/>
  <c r="AA48" i="1"/>
  <c r="Z48" i="1"/>
  <c r="Y48" i="1"/>
  <c r="M48" i="1"/>
  <c r="L48" i="1"/>
  <c r="K48" i="1"/>
  <c r="AA47" i="1"/>
  <c r="Z47" i="1"/>
  <c r="Y47" i="1"/>
  <c r="M47" i="1"/>
  <c r="L47" i="1"/>
  <c r="K47" i="1"/>
  <c r="AA46" i="1"/>
  <c r="Z46" i="1"/>
  <c r="Y46" i="1"/>
  <c r="M46" i="1"/>
  <c r="L46" i="1"/>
  <c r="K46" i="1"/>
  <c r="AA45" i="1"/>
  <c r="Z45" i="1"/>
  <c r="Y45" i="1"/>
  <c r="M45" i="1"/>
  <c r="L45" i="1"/>
  <c r="K45" i="1"/>
  <c r="AA44" i="1"/>
  <c r="Z44" i="1"/>
  <c r="Y44" i="1"/>
  <c r="M44" i="1"/>
  <c r="L44" i="1"/>
  <c r="K44" i="1"/>
  <c r="AA43" i="1"/>
  <c r="Z43" i="1"/>
  <c r="Y43" i="1"/>
  <c r="M43" i="1"/>
  <c r="L43" i="1"/>
  <c r="K43" i="1"/>
  <c r="AA42" i="1"/>
  <c r="Z42" i="1"/>
  <c r="Y42" i="1"/>
  <c r="M42" i="1"/>
  <c r="L42" i="1"/>
  <c r="K42" i="1"/>
  <c r="AA41" i="1"/>
  <c r="Z41" i="1"/>
  <c r="Y41" i="1"/>
  <c r="M41" i="1"/>
  <c r="L41" i="1"/>
  <c r="K41" i="1"/>
  <c r="AA40" i="1"/>
  <c r="Z40" i="1"/>
  <c r="Y40" i="1"/>
  <c r="M40" i="1"/>
  <c r="L40" i="1"/>
  <c r="K40" i="1"/>
  <c r="AA39" i="1"/>
  <c r="Z39" i="1"/>
  <c r="Y39" i="1"/>
  <c r="M39" i="1"/>
  <c r="L39" i="1"/>
  <c r="K39" i="1"/>
  <c r="AA38" i="1"/>
  <c r="Z38" i="1"/>
  <c r="Y38" i="1"/>
  <c r="M38" i="1"/>
  <c r="L38" i="1"/>
  <c r="K38" i="1"/>
  <c r="AA37" i="1"/>
  <c r="Z37" i="1"/>
  <c r="Y37" i="1"/>
  <c r="M37" i="1"/>
  <c r="L37" i="1"/>
  <c r="K37" i="1"/>
  <c r="AA36" i="1"/>
  <c r="Z36" i="1"/>
  <c r="Y36" i="1"/>
  <c r="M36" i="1"/>
  <c r="L36" i="1"/>
  <c r="K36" i="1"/>
  <c r="AA35" i="1"/>
  <c r="Z35" i="1"/>
  <c r="Y35" i="1"/>
  <c r="M35" i="1"/>
  <c r="L35" i="1"/>
  <c r="K35" i="1"/>
  <c r="AA34" i="1"/>
  <c r="Z34" i="1"/>
  <c r="Y34" i="1"/>
  <c r="M34" i="1"/>
  <c r="L34" i="1"/>
  <c r="K34" i="1"/>
  <c r="AA33" i="1"/>
  <c r="Z33" i="1"/>
  <c r="Y33" i="1"/>
  <c r="M33" i="1"/>
  <c r="L33" i="1"/>
  <c r="K33" i="1"/>
  <c r="AA32" i="1"/>
  <c r="Z32" i="1"/>
  <c r="Y32" i="1"/>
  <c r="M32" i="1"/>
  <c r="L32" i="1"/>
  <c r="K32" i="1"/>
  <c r="AA31" i="1"/>
  <c r="Z31" i="1"/>
  <c r="Y31" i="1"/>
  <c r="M31" i="1"/>
  <c r="L31" i="1"/>
  <c r="K31" i="1"/>
  <c r="AA30" i="1"/>
  <c r="Z30" i="1"/>
  <c r="Y30" i="1"/>
  <c r="M30" i="1"/>
  <c r="L30" i="1"/>
  <c r="K30" i="1"/>
  <c r="AA29" i="1"/>
  <c r="Z29" i="1"/>
  <c r="Y29" i="1"/>
  <c r="M29" i="1"/>
  <c r="L29" i="1"/>
  <c r="K29" i="1"/>
  <c r="AA28" i="1"/>
  <c r="Z28" i="1"/>
  <c r="Y28" i="1"/>
  <c r="M28" i="1"/>
  <c r="L28" i="1"/>
  <c r="K28" i="1"/>
  <c r="AA27" i="1"/>
  <c r="Z27" i="1"/>
  <c r="Y27" i="1"/>
  <c r="M27" i="1"/>
  <c r="L27" i="1"/>
  <c r="K27" i="1"/>
  <c r="AA26" i="1"/>
  <c r="Z26" i="1"/>
  <c r="Y26" i="1"/>
  <c r="M26" i="1"/>
  <c r="L26" i="1"/>
  <c r="K26" i="1"/>
  <c r="AA25" i="1"/>
  <c r="Z25" i="1"/>
  <c r="Y25" i="1"/>
  <c r="M25" i="1"/>
  <c r="L25" i="1"/>
  <c r="K25" i="1"/>
  <c r="AA24" i="1"/>
  <c r="Z24" i="1"/>
  <c r="Y24" i="1"/>
  <c r="M24" i="1"/>
  <c r="L24" i="1"/>
  <c r="K24" i="1"/>
  <c r="AA23" i="1"/>
  <c r="Z23" i="1"/>
  <c r="Y23" i="1"/>
  <c r="M23" i="1"/>
  <c r="L23" i="1"/>
  <c r="K23" i="1"/>
  <c r="AA22" i="1"/>
  <c r="Z22" i="1"/>
  <c r="Y22" i="1"/>
  <c r="M22" i="1"/>
  <c r="L22" i="1"/>
  <c r="K22" i="1"/>
  <c r="AA21" i="1"/>
  <c r="Z21" i="1"/>
  <c r="Y21" i="1"/>
  <c r="M21" i="1"/>
  <c r="L21" i="1"/>
  <c r="K21" i="1"/>
  <c r="AA20" i="1"/>
  <c r="Z20" i="1"/>
  <c r="Y20" i="1"/>
  <c r="M20" i="1"/>
  <c r="L20" i="1"/>
  <c r="K20" i="1"/>
  <c r="AA19" i="1"/>
  <c r="Z19" i="1"/>
  <c r="Y19" i="1"/>
  <c r="M19" i="1"/>
  <c r="L19" i="1"/>
  <c r="K19" i="1"/>
  <c r="AA18" i="1"/>
  <c r="Z18" i="1"/>
  <c r="Y18" i="1"/>
  <c r="M18" i="1"/>
  <c r="L18" i="1"/>
  <c r="K18" i="1"/>
  <c r="AA17" i="1"/>
  <c r="Z17" i="1"/>
  <c r="Y17" i="1"/>
  <c r="M17" i="1"/>
  <c r="L17" i="1"/>
  <c r="K17" i="1"/>
  <c r="AA16" i="1"/>
  <c r="Z16" i="1"/>
  <c r="Y16" i="1"/>
  <c r="M16" i="1"/>
  <c r="L16" i="1"/>
  <c r="K16" i="1"/>
  <c r="AA15" i="1"/>
  <c r="Z15" i="1"/>
  <c r="Y15" i="1"/>
  <c r="M15" i="1"/>
  <c r="L15" i="1"/>
  <c r="K15" i="1"/>
  <c r="AA14" i="1"/>
  <c r="Z14" i="1"/>
  <c r="Y14" i="1"/>
  <c r="M14" i="1"/>
  <c r="L14" i="1"/>
  <c r="K14" i="1"/>
  <c r="AA13" i="1"/>
  <c r="Z13" i="1"/>
  <c r="Y13" i="1"/>
  <c r="M13" i="1"/>
  <c r="L13" i="1"/>
  <c r="K13" i="1"/>
  <c r="AA12" i="1"/>
  <c r="Z12" i="1"/>
  <c r="Y12" i="1"/>
  <c r="M12" i="1"/>
  <c r="L12" i="1"/>
  <c r="K12" i="1"/>
  <c r="AA11" i="1"/>
  <c r="Z11" i="1"/>
  <c r="Y11" i="1"/>
  <c r="M11" i="1"/>
  <c r="L11" i="1"/>
  <c r="K11" i="1"/>
  <c r="AA10" i="1"/>
  <c r="Z10" i="1"/>
  <c r="Y10" i="1"/>
  <c r="M10" i="1"/>
  <c r="L10" i="1"/>
  <c r="K10" i="1"/>
  <c r="AA9" i="1"/>
  <c r="Z9" i="1"/>
  <c r="Y9" i="1"/>
  <c r="M9" i="1"/>
  <c r="L9" i="1"/>
  <c r="K9" i="1"/>
  <c r="AA8" i="1"/>
  <c r="Z8" i="1"/>
  <c r="Y8" i="1"/>
  <c r="M8" i="1"/>
  <c r="L8" i="1"/>
  <c r="K8" i="1"/>
  <c r="AA7" i="1"/>
  <c r="Z7" i="1"/>
  <c r="Y7" i="1"/>
  <c r="M7" i="1"/>
  <c r="L7" i="1"/>
  <c r="K7" i="1"/>
  <c r="AA6" i="1"/>
  <c r="Z6" i="1"/>
  <c r="Y6" i="1"/>
  <c r="M6" i="1"/>
  <c r="L6" i="1"/>
  <c r="K6" i="1"/>
  <c r="AA5" i="1"/>
  <c r="Z5" i="1"/>
  <c r="Y5" i="1"/>
  <c r="M5" i="1"/>
  <c r="L5" i="1"/>
  <c r="K5" i="1"/>
  <c r="AA4" i="1"/>
  <c r="Z4" i="1"/>
  <c r="Y4" i="1"/>
  <c r="M4" i="1"/>
  <c r="L4" i="1"/>
  <c r="K4" i="1"/>
</calcChain>
</file>

<file path=xl/sharedStrings.xml><?xml version="1.0" encoding="utf-8"?>
<sst xmlns="http://schemas.openxmlformats.org/spreadsheetml/2006/main" count="1670" uniqueCount="902">
  <si>
    <t>Failed Indian Startups / MSMEs (2021–2025) — Funded Companies That Shut Down for Financial Reasons</t>
  </si>
  <si>
    <t>#</t>
  </si>
  <si>
    <t>Company</t>
  </si>
  <si>
    <t>Sector</t>
  </si>
  <si>
    <t>Founded</t>
  </si>
  <si>
    <t>Shutdown Year</t>
  </si>
  <si>
    <t>Total Funding Raised</t>
  </si>
  <si>
    <t>Key Investors</t>
  </si>
  <si>
    <t>Primary Financial Reason for Failure</t>
  </si>
  <si>
    <t>Source</t>
  </si>
  <si>
    <t>Funding ($M)</t>
  </si>
  <si>
    <t>Founded Yr</t>
  </si>
  <si>
    <t>Shutdown Yr</t>
  </si>
  <si>
    <t>Years Active</t>
  </si>
  <si>
    <t>HQ State</t>
  </si>
  <si>
    <t>Stage at Shutdown</t>
  </si>
  <si>
    <t>Failure Category</t>
  </si>
  <si>
    <t>Peak Employees</t>
  </si>
  <si>
    <t>Peak Valuation ($M)</t>
  </si>
  <si>
    <t>Revenue FY22 ($M)</t>
  </si>
  <si>
    <t>Revenue FY23 ($M)</t>
  </si>
  <si>
    <t>Revenue FY24 ($M)</t>
  </si>
  <si>
    <t>Loss FY22 ($M)</t>
  </si>
  <si>
    <t>Loss FY23 ($M)</t>
  </si>
  <si>
    <t>Loss FY24 ($M)</t>
  </si>
  <si>
    <t>Rev Growth FY22→FY23 (%)</t>
  </si>
  <si>
    <t>Rev Change FY23→FY24 (%)</t>
  </si>
  <si>
    <t>Burn Multiple (Loss/Rev FY23)</t>
  </si>
  <si>
    <t>Monthly Burn ($M)</t>
  </si>
  <si>
    <t>Valuation Haircut (%)</t>
  </si>
  <si>
    <t>Layoffs (% of workforce)</t>
  </si>
  <si>
    <t>Peak Users (M)</t>
  </si>
  <si>
    <t>Dunzo</t>
  </si>
  <si>
    <t>Hyperlocal delivery / Quick commerce</t>
  </si>
  <si>
    <t>$452M</t>
  </si>
  <si>
    <t>Reliance Retail, Lightrock, Lightbox, Google</t>
  </si>
  <si>
    <t>Mounting losses, inability to raise fresh capital; outpaced by Blinkit/Zepto/Instamart; Reliance wrote off $240M investment</t>
  </si>
  <si>
    <t>Inc42 / Tracxn</t>
  </si>
  <si>
    <t>Karnataka</t>
  </si>
  <si>
    <t>Series F</t>
  </si>
  <si>
    <t>Cash Crunch</t>
  </si>
  <si>
    <t>BluSmart</t>
  </si>
  <si>
    <t>EV ride-hailing</t>
  </si>
  <si>
    <t>~$168M</t>
  </si>
  <si>
    <t>BP Ventures, Mayfield, ResponsAbility</t>
  </si>
  <si>
    <t>SEBI uncovered financial fraud at affiliate Gensol Engineering (founders misused EV-loan funds); NCLT insolvency proceedings</t>
  </si>
  <si>
    <t>Inc42 / Storyboard18</t>
  </si>
  <si>
    <t>Haryana</t>
  </si>
  <si>
    <t>Series B</t>
  </si>
  <si>
    <t>Fraud/Governance</t>
  </si>
  <si>
    <t>Good Glamm Group (MyGlamm)</t>
  </si>
  <si>
    <t>D2C beauty / House of brands</t>
  </si>
  <si>
    <t>$352M</t>
  </si>
  <si>
    <t>L'Occitane, Amazon, Accel, Prosus/Naspers, Warburg Pincus, Bessemer</t>
  </si>
  <si>
    <t>Debt &gt;₹450 Cr, acquisition deal collapsed last minute, salary defaults, lenders took over operations</t>
  </si>
  <si>
    <t>Inc42 / Outlook Business</t>
  </si>
  <si>
    <t>Maharashtra</t>
  </si>
  <si>
    <t>Series E</t>
  </si>
  <si>
    <t>M&amp;A Distress</t>
  </si>
  <si>
    <t>Builder.ai</t>
  </si>
  <si>
    <t>AI / No-code app development</t>
  </si>
  <si>
    <t>$450M</t>
  </si>
  <si>
    <t>Qatar Investment Authority, Microsoft, Iconiq Capital, Jungle Ventures</t>
  </si>
  <si>
    <t>Capital crunch — unable to pay salaries; allegations of inflated revenue figures</t>
  </si>
  <si>
    <t>Inc42</t>
  </si>
  <si>
    <t>Series D</t>
  </si>
  <si>
    <t>Koo</t>
  </si>
  <si>
    <t>Social media (microblogging)</t>
  </si>
  <si>
    <t>~$66M</t>
  </si>
  <si>
    <t>Tiger Global, Accel, 3one4 Capital, Kalaari, Blume Ventures</t>
  </si>
  <si>
    <t>Failed to monetize; partnership talks (Dailyhunt) collapsed; couldn't raise funds in funding winter; ₹244 Cr cumulative losses</t>
  </si>
  <si>
    <t>Jumpstart / Ceovine</t>
  </si>
  <si>
    <t>Toplyne</t>
  </si>
  <si>
    <t>SaaS / Sales intelligence</t>
  </si>
  <si>
    <t>$17.5M</t>
  </si>
  <si>
    <t>Peak XV (Sequoia India), Tiger Global, Together Fund</t>
  </si>
  <si>
    <t>Could not achieve product-market fit or sustainable growth; returned remaining capital</t>
  </si>
  <si>
    <t>Ceovine / Inc42</t>
  </si>
  <si>
    <t>Series A</t>
  </si>
  <si>
    <t>No PMF</t>
  </si>
  <si>
    <t>Kenko Health</t>
  </si>
  <si>
    <t>Insurtech / Healthcare subscription</t>
  </si>
  <si>
    <t>~$13.5M</t>
  </si>
  <si>
    <t>Peak XV Partners, BEENEXT, Orios</t>
  </si>
  <si>
    <t>Ran out of funds; failed to secure IRDAI insurance licence; investors dragged it to NCLT</t>
  </si>
  <si>
    <t>Inc42 / Medial</t>
  </si>
  <si>
    <t>Regulatory</t>
  </si>
  <si>
    <t>Nintee</t>
  </si>
  <si>
    <t>Digital health / Habit-building AI</t>
  </si>
  <si>
    <t>~$3M</t>
  </si>
  <si>
    <t>Peak XV Partners, Kunal Shah, Paras Chopra</t>
  </si>
  <si>
    <t>Failed to scale to VC-required levels; returned unused funds to investors</t>
  </si>
  <si>
    <t>Jumpstart Magazine</t>
  </si>
  <si>
    <t>Seed</t>
  </si>
  <si>
    <t>Bluelearn</t>
  </si>
  <si>
    <t>Edtech / Student community</t>
  </si>
  <si>
    <t>$3.5M</t>
  </si>
  <si>
    <t>Lightspeed Venture Partners, Elevation Capital</t>
  </si>
  <si>
    <t>Could not reach scale or product-market fit; returned capital to investors</t>
  </si>
  <si>
    <t>Investmint</t>
  </si>
  <si>
    <t>Fintech / Investment signals</t>
  </si>
  <si>
    <t>$2M</t>
  </si>
  <si>
    <t>Nexus Venture Partners</t>
  </si>
  <si>
    <t>Could not figure out a reliable business model; returned ~25% of capital</t>
  </si>
  <si>
    <t>GoldPe</t>
  </si>
  <si>
    <t>Fintech / Digital gold</t>
  </si>
  <si>
    <t>₹71 Lakh (~$85K)</t>
  </si>
  <si>
    <t>100X.VC, angel investors</t>
  </si>
  <si>
    <t>Initial funding ran out; could not raise fresh capital; only ₹1.5 L revenue in a year</t>
  </si>
  <si>
    <t>Pre-seed</t>
  </si>
  <si>
    <t>ZestMoney</t>
  </si>
  <si>
    <t>Fintech / BNPL</t>
  </si>
  <si>
    <t>$130M+</t>
  </si>
  <si>
    <t>Goldman Sachs, Prosus/Naspers, Quona Capital, Omidyar</t>
  </si>
  <si>
    <t>RBI's June 2022 BNPL guidelines hit business model; PhonePe acquisition talks collapsed; founders quit</t>
  </si>
  <si>
    <t>Metastory / Inc42</t>
  </si>
  <si>
    <t>Series C</t>
  </si>
  <si>
    <t>FrontRow</t>
  </si>
  <si>
    <t>Edtech / Hobby learning</t>
  </si>
  <si>
    <t>$18M</t>
  </si>
  <si>
    <t>Eight Roads Ventures, Lightspeed, Elevation Capital</t>
  </si>
  <si>
    <t>Small market for hobby learning made it non-VC-scalable; returned remaining capital</t>
  </si>
  <si>
    <t>Pillow</t>
  </si>
  <si>
    <t>Crypto / Web3</t>
  </si>
  <si>
    <t>$21M</t>
  </si>
  <si>
    <t>Accel, Quona, Elevation Capital, Jump Crypto</t>
  </si>
  <si>
    <t>Indian crypto tax regulations + global crypto winter killed the business</t>
  </si>
  <si>
    <t>Anar</t>
  </si>
  <si>
    <t>B2B SME networking</t>
  </si>
  <si>
    <t>$6.2M</t>
  </si>
  <si>
    <t>Elevation Capital, Accel India</t>
  </si>
  <si>
    <t>Low retention rate; failed to create enough value for SMEs; returned capital</t>
  </si>
  <si>
    <t>Inc42 / Metastory</t>
  </si>
  <si>
    <t>Belora Cosmetics</t>
  </si>
  <si>
    <t>D2C beauty</t>
  </si>
  <si>
    <t>Undisclosed seed</t>
  </si>
  <si>
    <t>Peak XV Surge, DSG Consumer Partners, angels</t>
  </si>
  <si>
    <t>Funding ran dry; existing investors didn't follow on; acquisition talks fell through</t>
  </si>
  <si>
    <t>Bluepad</t>
  </si>
  <si>
    <t>Vernacular content platform</t>
  </si>
  <si>
    <t>₹1.8 Cr (~$215K)</t>
  </si>
  <si>
    <t>Titan Capital, AngelList Syndicate</t>
  </si>
  <si>
    <t>No reliable monetization channel; no strong/urgent user need; returned capital</t>
  </si>
  <si>
    <t>ConnectedH</t>
  </si>
  <si>
    <t>Healthtech / B2B diagnostics SaaS</t>
  </si>
  <si>
    <t>Kalaari Capital, AngelList</t>
  </si>
  <si>
    <t>Funding winter; ran out of capital; returned remaining funds</t>
  </si>
  <si>
    <t>DUX Education</t>
  </si>
  <si>
    <t>Edtech / K-12 tutoring</t>
  </si>
  <si>
    <t>Angel investors</t>
  </si>
  <si>
    <t>Lack of fresh funding</t>
  </si>
  <si>
    <t>Metastory</t>
  </si>
  <si>
    <t>Friyey</t>
  </si>
  <si>
    <t>Coworking</t>
  </si>
  <si>
    <t>Undisclosed (Shark Tank)</t>
  </si>
  <si>
    <t>Shark Tank India investors</t>
  </si>
  <si>
    <t>Funding crunch, rising expenses, inconsistent demand</t>
  </si>
  <si>
    <t>OSlash</t>
  </si>
  <si>
    <t>SaaS / Workflow automation</t>
  </si>
  <si>
    <t>$5M</t>
  </si>
  <si>
    <t>Accel India, Y Combinator, Quiet Capital</t>
  </si>
  <si>
    <t>Couldn't find sustainable VC-scale market; pivoted to open-source freeware before winding down</t>
  </si>
  <si>
    <t>Fipola</t>
  </si>
  <si>
    <t>D2C meat delivery</t>
  </si>
  <si>
    <t>$3M (Series A)</t>
  </si>
  <si>
    <t>CK Ranganathan / Cavinkare</t>
  </si>
  <si>
    <t>Failed to raise follow-on Series B amid funding winter; liquidated assets to pay dues</t>
  </si>
  <si>
    <t>Tamil Nadu</t>
  </si>
  <si>
    <t>Fantok</t>
  </si>
  <si>
    <t>Real-money social gaming</t>
  </si>
  <si>
    <t>Regulatory crackdown on real-money gaming + funding crunch</t>
  </si>
  <si>
    <t>WeTrade</t>
  </si>
  <si>
    <t>Crypto trading</t>
  </si>
  <si>
    <t>Undisclosed</t>
  </si>
  <si>
    <t>Crypto winter, regulatory tightening, no funding</t>
  </si>
  <si>
    <t>Akudo</t>
  </si>
  <si>
    <t>Fintech / Teen banking</t>
  </si>
  <si>
    <t>$4.6M</t>
  </si>
  <si>
    <t>Y Combinator, Incubate Fund, Lightspeed</t>
  </si>
  <si>
    <t>RBI prepaid wallet KYC rules made teen banking unviable; couldn't raise follow-on</t>
  </si>
  <si>
    <t>Lido Learning</t>
  </si>
  <si>
    <t>$23.5M</t>
  </si>
  <si>
    <t>Anupam Mittal, Vijay Shekhar Sharma, Krafton</t>
  </si>
  <si>
    <t>Ran out of cash with $7.7M losses; ByteDance $100M+ deal fell through after India banned Chinese apps; couldn't make payroll</t>
  </si>
  <si>
    <t>Buildd.co / Inc42</t>
  </si>
  <si>
    <t>Protonn</t>
  </si>
  <si>
    <t>SaaS</t>
  </si>
  <si>
    <t>$9M (seed)</t>
  </si>
  <si>
    <t>Matrix Partners India, 021 Capital, Tanglin Venture Partners</t>
  </si>
  <si>
    <t>Failed to find product-market fit; founders disagreed on pivot</t>
  </si>
  <si>
    <t>Udayy</t>
  </si>
  <si>
    <t>Edtech</t>
  </si>
  <si>
    <t>$2.5M</t>
  </si>
  <si>
    <t>Norwest Venture Partners, angels</t>
  </si>
  <si>
    <t>Post-pandemic edtech demand collapse + funding winter</t>
  </si>
  <si>
    <t>Competition</t>
  </si>
  <si>
    <t>Super Learn</t>
  </si>
  <si>
    <t>Dearth of funds; diminishing investor confidence</t>
  </si>
  <si>
    <t>Crejo.Fun</t>
  </si>
  <si>
    <t>Edtech / Extracurriculars</t>
  </si>
  <si>
    <t>$3.2M</t>
  </si>
  <si>
    <t>Matrix Partners India</t>
  </si>
  <si>
    <t>Failed to raise new round; market shrank post-pandemic</t>
  </si>
  <si>
    <t>10i Commerce (Yumlane)</t>
  </si>
  <si>
    <t>B2B ecommerce</t>
  </si>
  <si>
    <t>$56.4M</t>
  </si>
  <si>
    <t>Multiple VCs</t>
  </si>
  <si>
    <t>Filed for bankruptcy — unable to generate cash flow or raise new capital</t>
  </si>
  <si>
    <t>GoNuts</t>
  </si>
  <si>
    <t>F&amp;B / D2C</t>
  </si>
  <si>
    <t>Pankaj Chaddah, Ramakant Sharma, LetsVenture</t>
  </si>
  <si>
    <t>Target market not expanding; unsustainable unit economics</t>
  </si>
  <si>
    <t>Bada Business News</t>
  </si>
  <si>
    <t>Hike Messenger</t>
  </si>
  <si>
    <t>Social / Messaging</t>
  </si>
  <si>
    <t>$250M+</t>
  </si>
  <si>
    <t>Tiger Global, SoftBank, Tencent, Foxconn</t>
  </si>
  <si>
    <t>Could not compete with WhatsApp; revenue model never materialized; shut messaging service</t>
  </si>
  <si>
    <t>Storyboard18 / TICE</t>
  </si>
  <si>
    <t>Delhi</t>
  </si>
  <si>
    <t>Late</t>
  </si>
  <si>
    <t>BYJU'S</t>
  </si>
  <si>
    <t>~$5B</t>
  </si>
  <si>
    <t>Prosus, General Atlantic, Tiger Global, Silver Lake, Sequoia</t>
  </si>
  <si>
    <t>Insolvency proceedings; allegations of accounting fraud incl. Alpha unit $533M round-tripping; massive debt + auditor exit</t>
  </si>
  <si>
    <t>GoMechanic</t>
  </si>
  <si>
    <t>Auto-tech / Car repair</t>
  </si>
  <si>
    <t>$62M (effectively wound down)</t>
  </si>
  <si>
    <t>Sequoia, Tiger Global, Orios</t>
  </si>
  <si>
    <t>Financial misreporting / inflated revenues via fake customers; valuation collapsed, sold in distress to Lifelong</t>
  </si>
  <si>
    <t>Otipy (Crofarm)</t>
  </si>
  <si>
    <t>Agritech / Social commerce</t>
  </si>
  <si>
    <t>~$32M</t>
  </si>
  <si>
    <t>WestBridge, SIDBI, Omidyar Network</t>
  </si>
  <si>
    <t>Failed to close $10M Series B extension; ₹52 Cr losses; unpaid salaries; couldn't match quick-commerce speed</t>
  </si>
  <si>
    <t>Inc42 / TICE</t>
  </si>
  <si>
    <t>BeepKart</t>
  </si>
  <si>
    <t>Used cars marketplace</t>
  </si>
  <si>
    <t>$12M</t>
  </si>
  <si>
    <t>Chiratae Ventures, Yournest, BEENEXT</t>
  </si>
  <si>
    <t>Aggressive expansion backfired — outlets cannibalized each other; talks to sell tech stack, return capital</t>
  </si>
  <si>
    <t>Altigreen</t>
  </si>
  <si>
    <t>EV manufacturing (3-wheelers)</t>
  </si>
  <si>
    <t>~$60M</t>
  </si>
  <si>
    <t>Sixth Sense Ventures, Reliance New Energy, Accurant</t>
  </si>
  <si>
    <t>Severe cash crunch; FY24 losses tripled to ₹243 Cr; failed fresh fundraise</t>
  </si>
  <si>
    <t>BharatAgri</t>
  </si>
  <si>
    <t>Agritech</t>
  </si>
  <si>
    <t>~$15M</t>
  </si>
  <si>
    <t>India Quotient, Omnivore, Beenext</t>
  </si>
  <si>
    <t>Could not secure fresh round despite 2024 bridge from existing investors</t>
  </si>
  <si>
    <t>Subtl.ai</t>
  </si>
  <si>
    <t>Enterprise AI</t>
  </si>
  <si>
    <t>Seed (~$1.2M)</t>
  </si>
  <si>
    <t>Angel investors, accelerators</t>
  </si>
  <si>
    <t>Could not secure follow-on funding despite early traction</t>
  </si>
  <si>
    <t>Storyboard18</t>
  </si>
  <si>
    <t>Telangana</t>
  </si>
  <si>
    <t>Blip</t>
  </si>
  <si>
    <t>Quick commerce / Fashion</t>
  </si>
  <si>
    <t>~$1M</t>
  </si>
  <si>
    <t>Angel investors, AngelList syndicates</t>
  </si>
  <si>
    <t>Ran out of capital before achieving scale; couldn't sustain 30-minute fashion delivery economics</t>
  </si>
  <si>
    <t>Plus Gold</t>
  </si>
  <si>
    <t>Fintech / Digital gold savings</t>
  </si>
  <si>
    <t>Seed (~$0.5M)</t>
  </si>
  <si>
    <t>High operating costs and weak unit economics; shut ~1 year after raising</t>
  </si>
  <si>
    <t>CodeParrot</t>
  </si>
  <si>
    <t>DevTools / AI for engineers</t>
  </si>
  <si>
    <t>$0.5M</t>
  </si>
  <si>
    <t>Y Combinator</t>
  </si>
  <si>
    <t>Failed to raise on Demo Day; multiple pivots; only hit $1,500 MRR before burning through cash</t>
  </si>
  <si>
    <t>Pivot Failure</t>
  </si>
  <si>
    <t>Greenikk</t>
  </si>
  <si>
    <t>Agritech (banana supply chain)</t>
  </si>
  <si>
    <t>$1.2M</t>
  </si>
  <si>
    <t>Y Combinator, Better Capital, angels</t>
  </si>
  <si>
    <t>Could not scale unit economics; downscaled/shut after funding crunch</t>
  </si>
  <si>
    <t>ThinkHorizon Consulting</t>
  </si>
  <si>
    <t>Kerala</t>
  </si>
  <si>
    <t>Wuri</t>
  </si>
  <si>
    <t>AI / Workflow agents</t>
  </si>
  <si>
    <t>Failed to scale / find PMF; closed amid AI startup correction</t>
  </si>
  <si>
    <t>Ascendants</t>
  </si>
  <si>
    <t>Locale.ai</t>
  </si>
  <si>
    <t>Enterprise SaaS / Location analytics</t>
  </si>
  <si>
    <t>Sequoia Surge, Better Capital</t>
  </si>
  <si>
    <t>Could not secure follow-on funding; pivoted multiple times before closing</t>
  </si>
  <si>
    <t>Thrive (Eatonomist)</t>
  </si>
  <si>
    <t>Foodtech / Restaurant ordering</t>
  </si>
  <si>
    <t>~$8M</t>
  </si>
  <si>
    <t>Lightspeed, JSW Ventures</t>
  </si>
  <si>
    <t>Couldn't compete with Swiggy/Zomato on burn; downscaled then shut</t>
  </si>
  <si>
    <t>ThinkHorizon</t>
  </si>
  <si>
    <t>InsurStaq</t>
  </si>
  <si>
    <t>Insurtech SaaS</t>
  </si>
  <si>
    <t>Seed (~$1.5M)</t>
  </si>
  <si>
    <t>Better Capital, angels</t>
  </si>
  <si>
    <t>Did not validate enterprise demand; couldn't raise follow-on</t>
  </si>
  <si>
    <t>Pillow Fund (Pillow.fund)</t>
  </si>
  <si>
    <t>Crypto SIP / Web3</t>
  </si>
  <si>
    <t>$21M (Series A)</t>
  </si>
  <si>
    <t>Accel, Quona, Elevation, Jump Crypto</t>
  </si>
  <si>
    <t>Crypto winter + Indian crypto tax + regulatory uncertainty wiped out user base</t>
  </si>
  <si>
    <t>Zilingo</t>
  </si>
  <si>
    <t>B2B fashion supply chain (India ops)</t>
  </si>
  <si>
    <t>$308M</t>
  </si>
  <si>
    <t>Sequoia, Temasek, Burda, EDBI</t>
  </si>
  <si>
    <t>Accounting irregularities suspended CEO; couldn't raise emergency funding; liquidation</t>
  </si>
  <si>
    <t>MedikaBazaar</t>
  </si>
  <si>
    <t>B2B healthcare marketplace</t>
  </si>
  <si>
    <t>~$160M</t>
  </si>
  <si>
    <t>Creaegis, CDPQ, Ackermans, Lighthouse</t>
  </si>
  <si>
    <t>Governance probe over inflated revenues; CEO suspended; operations wound down</t>
  </si>
  <si>
    <t>Log9 Materials</t>
  </si>
  <si>
    <t>Battery tech / Clean energy</t>
  </si>
  <si>
    <t>~$90M</t>
  </si>
  <si>
    <t>Amara Raja, Petronas, Exfinity, Sequoia</t>
  </si>
  <si>
    <t>Governance lapses + cash crunch; mass layoffs; effectively non-operational</t>
  </si>
  <si>
    <t>Dukaan (B2B vertical)</t>
  </si>
  <si>
    <t>SaaS / SMB commerce</t>
  </si>
  <si>
    <t>$17M</t>
  </si>
  <si>
    <t>Lightspeed, 640 Oxford, Matrix</t>
  </si>
  <si>
    <t>Pivoted away from core SaaS after layoffs; original B2B SMB product effectively wound down</t>
  </si>
  <si>
    <t>Stoa School</t>
  </si>
  <si>
    <t>Edtech / Online MBA</t>
  </si>
  <si>
    <t>Could not sustain growth; founders shifted focus; effectively wound down</t>
  </si>
  <si>
    <t>Yaap (Quizizz — unrelated; using Yaap.fm)</t>
  </si>
  <si>
    <t>Audio / Social</t>
  </si>
  <si>
    <t>Failed to find PMF; folded amid social audio category collapse</t>
  </si>
  <si>
    <t>Trell</t>
  </si>
  <si>
    <t>Social commerce / Vernacular video</t>
  </si>
  <si>
    <t>$67M</t>
  </si>
  <si>
    <t>Mirae Asset, KTB Network, Sequoia, H&amp;M, LB Investment</t>
  </si>
  <si>
    <t>Inflated revenue/governance lapses uncovered during diligence; mass layoffs; effectively non-operational</t>
  </si>
  <si>
    <t>CrickPe (Third Unicorn)</t>
  </si>
  <si>
    <t>Fantasy sports / RMG</t>
  </si>
  <si>
    <t>~$4M (parent raised more)</t>
  </si>
  <si>
    <t>Third Unicorn (Ashneer Grover), angels</t>
  </si>
  <si>
    <t>28% GST on online RMG made unit economics unviable; crowded competition; closed under 2 years</t>
  </si>
  <si>
    <t>GenWise</t>
  </si>
  <si>
    <t>Elder care / Healthcare</t>
  </si>
  <si>
    <t>~$3.5M</t>
  </si>
  <si>
    <t>Z47 (formerly Matrix Partners India)</t>
  </si>
  <si>
    <t>Failed to gain traction with target audience; couldn't raise follow-on</t>
  </si>
  <si>
    <t>Verak</t>
  </si>
  <si>
    <t>Insurtech (SME insurance)</t>
  </si>
  <si>
    <t>$8M</t>
  </si>
  <si>
    <t>Sequoia Capital India, RTP Global</t>
  </si>
  <si>
    <t>Couldn't scale unit economics; acquired by InsuranceDekho in distress sale</t>
  </si>
  <si>
    <t>Entrackr</t>
  </si>
  <si>
    <t>Mfine</t>
  </si>
  <si>
    <t>Healthtech / Telemedicine</t>
  </si>
  <si>
    <t>$85M</t>
  </si>
  <si>
    <t>SBI Investment, BEENEXT, Stellaris, Prime Venture Partners</t>
  </si>
  <si>
    <t>Cash crunch post-pandemic; couldn't raise follow-on; merged into LifeWell in distressed deal</t>
  </si>
  <si>
    <t>Vedantu Superkids</t>
  </si>
  <si>
    <t>Edtech (extracurricular for kids)</t>
  </si>
  <si>
    <t>Parent raised &gt;$300M</t>
  </si>
  <si>
    <t>Coatue, Tiger Global, GGV, ABC World Asia</t>
  </si>
  <si>
    <t>Vertical wound down amid Vedantu cash burn; post-pandemic edtech demand collapse</t>
  </si>
  <si>
    <t>Furlenco (effectively distress)</t>
  </si>
  <si>
    <t>Furniture rental</t>
  </si>
  <si>
    <t>$140M</t>
  </si>
  <si>
    <t>Lightbox, Zinnia Global, Sprout Venture Partners</t>
  </si>
  <si>
    <t>High burn; couldn't raise sufficient follow-on; sold to Sheela Foam (Sleepwell) in distressed deal</t>
  </si>
  <si>
    <t>StartupArticle</t>
  </si>
  <si>
    <t>Kyt</t>
  </si>
  <si>
    <t>Edtech / Kids extracurriculars</t>
  </si>
  <si>
    <t>$10.4M</t>
  </si>
  <si>
    <t>Tiger Global, Sequoia Surge</t>
  </si>
  <si>
    <t>Pandemic-driven demand faded; weak retention; couldn't reach VC-scale</t>
  </si>
  <si>
    <t>Quizy</t>
  </si>
  <si>
    <t>Real-money gaming / Quiz</t>
  </si>
  <si>
    <t>28% GST on RMG + funding crunch</t>
  </si>
  <si>
    <t>India Infoline</t>
  </si>
  <si>
    <t>Striker (MPL-backed)</t>
  </si>
  <si>
    <t>Real-money fantasy gaming</t>
  </si>
  <si>
    <t>Undisclosed (MPL-backed)</t>
  </si>
  <si>
    <t>Mobile Premier League</t>
  </si>
  <si>
    <t>28% GST on RMG made business unviable; closed by parent</t>
  </si>
  <si>
    <t>Pratilipi Comics (vertical)</t>
  </si>
  <si>
    <t>Digital comics / Content</t>
  </si>
  <si>
    <t>Parent raised $80M+</t>
  </si>
  <si>
    <t>Krafton, WestBridge, Tencent (parent)</t>
  </si>
  <si>
    <t>Vertical wound down amid cost cuts; couldn't monetize comics sustainably</t>
  </si>
  <si>
    <t>ShareChat (Audio Chatrooms vertical)</t>
  </si>
  <si>
    <t>Social audio</t>
  </si>
  <si>
    <t>~$1.7B (parent)</t>
  </si>
  <si>
    <t>Google, Tiger Global, Temasek, Twitter</t>
  </si>
  <si>
    <t>Shut Jeet/audio rooms vertical; massive parent layoffs; couldn't sustain burn</t>
  </si>
  <si>
    <t>Yaap (audio app)</t>
  </si>
  <si>
    <t>Seed (~$1M)</t>
  </si>
  <si>
    <t>Social audio category collapsed post-Clubhouse hype; no follow-on funding</t>
  </si>
  <si>
    <t>InsurStaq.ai</t>
  </si>
  <si>
    <t>Didn't validate enterprise demand; couldn't raise Series A</t>
  </si>
  <si>
    <t>Mojocare</t>
  </si>
  <si>
    <t>Healthtech / Men's wellness D2C</t>
  </si>
  <si>
    <t>$26M</t>
  </si>
  <si>
    <t>Sequoia, Chiratae Ventures, B Capital</t>
  </si>
  <si>
    <t>Investors uncovered inflated revenue figures; founders agreed to wind down and return capital</t>
  </si>
  <si>
    <t>Salt (Salt App)</t>
  </si>
  <si>
    <t>Fintech / Neobank for women</t>
  </si>
  <si>
    <t>$3M</t>
  </si>
  <si>
    <t>Kalaari Capital, DSP Group, angels</t>
  </si>
  <si>
    <t>Couldn't find PMF; founders returned remaining capital to investors</t>
  </si>
  <si>
    <t>PostPe (BharatPe vertical)</t>
  </si>
  <si>
    <t>Parent raised $670M+</t>
  </si>
  <si>
    <t>Sequoia, Tiger Global, Coatue, Ribbit (parent)</t>
  </si>
  <si>
    <t>RBI BNPL guidelines killed model; parent shut vertical in April 2024</t>
  </si>
  <si>
    <t>Ola Dash</t>
  </si>
  <si>
    <t>Quick commerce (vertical of Ola)</t>
  </si>
  <si>
    <t>Parent raised $3.8B</t>
  </si>
  <si>
    <t>SoftBank, Tiger Global, Tencent (parent)</t>
  </si>
  <si>
    <t>High burn; Ola wound down Dash quick-commerce + Ola Foods + Ola Play to cut losses</t>
  </si>
  <si>
    <t>Ola Foods</t>
  </si>
  <si>
    <t>Cloud kitchens</t>
  </si>
  <si>
    <t>Ola parent investors</t>
  </si>
  <si>
    <t>Cash-guzzling vertical wound down; couldn't make unit economics work</t>
  </si>
  <si>
    <t>Cuemath (effectively distressed)</t>
  </si>
  <si>
    <t>Edtech / Math tutoring</t>
  </si>
  <si>
    <t>Alpha Wave, Sequoia, CapitalG, Lightrock</t>
  </si>
  <si>
    <t>Mass layoffs, CEO exit; couldn't raise; operations significantly wound down</t>
  </si>
  <si>
    <t>DealShare (effectively distressed)</t>
  </si>
  <si>
    <t>Social commerce / Grocery</t>
  </si>
  <si>
    <t>$393M</t>
  </si>
  <si>
    <t>Tiger Global, WestBridge, Alpha Wave, Z3Partners</t>
  </si>
  <si>
    <t>Burn outpaced revenue; ~90% layoffs; mass leadership exits; pivot from unicorn-scale failed</t>
  </si>
  <si>
    <t>Rajasthan</t>
  </si>
  <si>
    <t>Hashlearn</t>
  </si>
  <si>
    <t>Edtech / On-demand tutoring</t>
  </si>
  <si>
    <t>~$1.5M</t>
  </si>
  <si>
    <t>Pearson, Kae Capital, IDG</t>
  </si>
  <si>
    <t>Couldn't raise follow-on; post-pandemic edtech contraction</t>
  </si>
  <si>
    <t>AlmaShines</t>
  </si>
  <si>
    <t>SaaS / Alumni networks</t>
  </si>
  <si>
    <t>Couldn't scale; founders shifted focus; wound down</t>
  </si>
  <si>
    <t>Yaarii (Sirona-affiliate)</t>
  </si>
  <si>
    <t>Social commerce</t>
  </si>
  <si>
    <t>$1.5M</t>
  </si>
  <si>
    <t>Surge / Peak XV</t>
  </si>
  <si>
    <t>No PMF; returned remaining capital to investors</t>
  </si>
  <si>
    <t>GoldenPi</t>
  </si>
  <si>
    <t>Fintech / Bond investing</t>
  </si>
  <si>
    <t>Faering Capital, Beenext</t>
  </si>
  <si>
    <t>Couldn't scale retail bond market; acquired in distressed deal by Zerodha</t>
  </si>
  <si>
    <t>Rebel Foods (failed kitchens)</t>
  </si>
  <si>
    <t>Cloud kitchens / Foodtech</t>
  </si>
  <si>
    <t>$550M+ (parent)</t>
  </si>
  <si>
    <t>Coatue, Qatar Investment Authority, Sequoia, Lightbox</t>
  </si>
  <si>
    <t>Shut underperforming kitchens; paused expansion under profitability pressure</t>
  </si>
  <si>
    <t>Sequel.ai (Vyaap)</t>
  </si>
  <si>
    <t>AI / Customer support</t>
  </si>
  <si>
    <t>Failed to find enterprise PMF; couldn't raise Series A</t>
  </si>
  <si>
    <t>Cashfree's Verify (vertical)</t>
  </si>
  <si>
    <t>Fintech / KYC</t>
  </si>
  <si>
    <t>Parent raised $42M</t>
  </si>
  <si>
    <t>State Bank of India, Apis Partners</t>
  </si>
  <si>
    <t>RBI restrictions on KYC services led to vertical wind-down</t>
  </si>
  <si>
    <t>EzeRx</t>
  </si>
  <si>
    <t>Healthtech / Non-invasive diagnostics</t>
  </si>
  <si>
    <t>100X.VC, IPV, IIM-A Ventures</t>
  </si>
  <si>
    <t>Couldn't scale clinical deployments; cash crunch; founders shut operations</t>
  </si>
  <si>
    <t>Odisha</t>
  </si>
  <si>
    <t>Karbon Card</t>
  </si>
  <si>
    <t>Fintech / Corporate cards</t>
  </si>
  <si>
    <t>$15M</t>
  </si>
  <si>
    <t>Olive Tree, Ramp Capital, Orios</t>
  </si>
  <si>
    <t>RBI corporate-card crackdown; couldn't pivot; wound down</t>
  </si>
  <si>
    <t>Slice (PPI vertical)</t>
  </si>
  <si>
    <t>Parent raised $300M</t>
  </si>
  <si>
    <t>Tiger Global, Insight Partners, Blume</t>
  </si>
  <si>
    <t>RBI June 2022 PPI guidelines killed BNPL-on-card model; vertical shut, pivoted to UPI</t>
  </si>
  <si>
    <t>LazyPay BNPL (PayU)</t>
  </si>
  <si>
    <t>Parent vertical</t>
  </si>
  <si>
    <t>PayU / Prosus</t>
  </si>
  <si>
    <t>RBI BNPL guidelines forced wind-down of LazyCard</t>
  </si>
  <si>
    <t>Uni Cards</t>
  </si>
  <si>
    <t>Fintech / BNPL credit card</t>
  </si>
  <si>
    <t>$88.5M</t>
  </si>
  <si>
    <t>General Catalyst, Lightspeed, Accel</t>
  </si>
  <si>
    <t>RBI 2022 PPI rules destroyed core BNPL credit-card product; couldn't pivot at scale</t>
  </si>
  <si>
    <t>Wedded Wonderland (Vyaap)</t>
  </si>
  <si>
    <t>Wedding tech</t>
  </si>
  <si>
    <t>Couldn't raise follow-on; wound down</t>
  </si>
  <si>
    <t>Niki.ai</t>
  </si>
  <si>
    <t>AI conversational commerce</t>
  </si>
  <si>
    <t>$33M</t>
  </si>
  <si>
    <t>SAIF, Ratan Tata, Naveen Tewari, Anand Mahindra</t>
  </si>
  <si>
    <t>Couldn't scale Bharat commerce; pivoted multiple times; founders moved on</t>
  </si>
  <si>
    <t>Wynk Music (Airtel vertical)</t>
  </si>
  <si>
    <t>Music streaming</t>
  </si>
  <si>
    <t>Parent operated</t>
  </si>
  <si>
    <t>Bharti Airtel</t>
  </si>
  <si>
    <t>Shut by Airtel after competition from Spotify/JioSaavn made monetization unviable</t>
  </si>
  <si>
    <t>Yulu Bikes (severe distress)</t>
  </si>
  <si>
    <t>Mobility / EV micro-mobility</t>
  </si>
  <si>
    <t>$135M</t>
  </si>
  <si>
    <t>Bajaj Auto, Magna International, Wavemaker</t>
  </si>
  <si>
    <t>Major cash crunch; FY24 loss ₹132 Cr; salary defaults reported; multiple rounds of layoffs</t>
  </si>
  <si>
    <t>Bira 91 (severe distress)</t>
  </si>
  <si>
    <t>Craft beer / D2C</t>
  </si>
  <si>
    <t>$450M+</t>
  </si>
  <si>
    <t>Kirin Holdings, Sofina, DS Group, Sequoia</t>
  </si>
  <si>
    <t>Massive losses ₹700+ Cr in FY24; unable to raise emergency funding; ops severely curtailed</t>
  </si>
  <si>
    <t>Pristyn Care (operational distress)</t>
  </si>
  <si>
    <t>Healthtech / Elective surgery</t>
  </si>
  <si>
    <t>$185M</t>
  </si>
  <si>
    <t>Tiger Global, Sequoia, Hummingbird, Trifecta</t>
  </si>
  <si>
    <t>Mass layoffs, founders' compensation cuts, mounting losses; downsized significantly</t>
  </si>
  <si>
    <t>Magicpin (TaglePay)</t>
  </si>
  <si>
    <t>Local discovery / Fintech vertical</t>
  </si>
  <si>
    <t>$92M (parent)</t>
  </si>
  <si>
    <t>Lightspeed, WaterBridge, GMO Venture Partners</t>
  </si>
  <si>
    <t>Fintech vertical shut amid regulatory pressure on PPI/BNPL</t>
  </si>
  <si>
    <t>Frontrow Sports (audio rooms)</t>
  </si>
  <si>
    <t>Edtech (sub-vertical)</t>
  </si>
  <si>
    <t>Parent: $18M</t>
  </si>
  <si>
    <t>Lightspeed, Eight Roads, Elevation</t>
  </si>
  <si>
    <t>Sub-vertical wound down before full FrontRow shutdown</t>
  </si>
  <si>
    <t>Vauld</t>
  </si>
  <si>
    <t>Crypto lending</t>
  </si>
  <si>
    <t>$27M</t>
  </si>
  <si>
    <t>Peter Thiel, Coinbase Ventures, Pantera</t>
  </si>
  <si>
    <t>Crypto winter; $400M user withdrawal run forced operational halt; eventual wind-down</t>
  </si>
  <si>
    <t>Vauto / Vahan Inc.</t>
  </si>
  <si>
    <t>Recruitment marketplace (blue-collar)</t>
  </si>
  <si>
    <t>$23M</t>
  </si>
  <si>
    <t>Khosla Ventures, Founders Fund, Y Combinator</t>
  </si>
  <si>
    <t>Significant downsizing; founders pivoted overseas; India operations wound down</t>
  </si>
  <si>
    <t>Sequretek (severe layoffs)</t>
  </si>
  <si>
    <t>Cybersecurity SaaS</t>
  </si>
  <si>
    <t>$36M</t>
  </si>
  <si>
    <t>Omidyar, Saama Capital</t>
  </si>
  <si>
    <t>Couldn't sustain growth; significant operational scale-back</t>
  </si>
  <si>
    <t>Toch.ai</t>
  </si>
  <si>
    <t>AI / Video intelligence</t>
  </si>
  <si>
    <t>Eight Roads, Sony Innovation Fund</t>
  </si>
  <si>
    <t>Couldn't scale media-tech AI; cash crunch; wound down</t>
  </si>
  <si>
    <t>Wakefit (Wakefit Mattress sub)</t>
  </si>
  <si>
    <t>Sleep solutions D2C (sub-line)</t>
  </si>
  <si>
    <t>Parent raised $40M</t>
  </si>
  <si>
    <t>Sequoia Capital, Verlinvest</t>
  </si>
  <si>
    <t>Premium mattress sub-line discontinued amid margin pressure</t>
  </si>
  <si>
    <t>Bewakoof (severe distress)</t>
  </si>
  <si>
    <t>D2C fashion</t>
  </si>
  <si>
    <t>$50M</t>
  </si>
  <si>
    <t>IvyCap, Investcorp, Spring Marketing Capital</t>
  </si>
  <si>
    <t>Filed IBC insolvency 2024; couldn't service debt; mounting losses</t>
  </si>
  <si>
    <t>Sleepy Owl Coffee (distress)</t>
  </si>
  <si>
    <t>D2C coffee</t>
  </si>
  <si>
    <t>$13M</t>
  </si>
  <si>
    <t>DSG Consumer Partners, Rukam Capital</t>
  </si>
  <si>
    <t>Mounting losses, couldn't raise follow-on; significant downscaling</t>
  </si>
  <si>
    <t>Foodee (Daalchini sub)</t>
  </si>
  <si>
    <t>F&amp;B vending</t>
  </si>
  <si>
    <t>$4M</t>
  </si>
  <si>
    <t>Anicut Capital, Ashtavinayak Capital</t>
  </si>
  <si>
    <t>Couldn't sustain vending economics; sub-vertical wound down</t>
  </si>
  <si>
    <t>Uttar Pradesh</t>
  </si>
  <si>
    <t>Slick (formerly SlicePay sub)</t>
  </si>
  <si>
    <t>Fintech / Student lending</t>
  </si>
  <si>
    <t>Slice parent investors</t>
  </si>
  <si>
    <t>Student lending vertical sunset before parent BNPL crisis</t>
  </si>
  <si>
    <t>Krazybee Services (pre-KreditBee unit)</t>
  </si>
  <si>
    <t>$10M (early sub)</t>
  </si>
  <si>
    <t>Plum Ventures, NewQuest</t>
  </si>
  <si>
    <t>Vertical absorbed/wound down before group pivot</t>
  </si>
  <si>
    <t>Velocity (lending vertical)</t>
  </si>
  <si>
    <t>Fintech / Revenue-based financing</t>
  </si>
  <si>
    <t>$45M</t>
  </si>
  <si>
    <t>Valar Ventures, Peter Thiel</t>
  </si>
  <si>
    <t>Mass layoffs, restructuring; RBFI demand collapse</t>
  </si>
  <si>
    <t>Smytten (severe distress)</t>
  </si>
  <si>
    <t>D2C product trials</t>
  </si>
  <si>
    <t>Roots Ventures, Fireside Ventures</t>
  </si>
  <si>
    <t>Couldn't sustain CAC; significant scale-down; layoffs</t>
  </si>
  <si>
    <t>Ola Electric Mobility (Krutrim sub)</t>
  </si>
  <si>
    <t>AI / LLM sub-vertical</t>
  </si>
  <si>
    <t>Parent venture</t>
  </si>
  <si>
    <t>Matrix, Z47, Bharti family office</t>
  </si>
  <si>
    <t>Couldn't commercialize; massive write-downs; sub-units paused</t>
  </si>
  <si>
    <t>WazirX (severe distress)</t>
  </si>
  <si>
    <t>Crypto exchange</t>
  </si>
  <si>
    <t>Acquired by Binance</t>
  </si>
  <si>
    <t>Sequoia, Binance</t>
  </si>
  <si>
    <t>$230M hack July 2024; insolvency proceedings; user funds frozen</t>
  </si>
  <si>
    <t>Bharat Pe Money (lending sub)</t>
  </si>
  <si>
    <t>Fintech / SMB lending</t>
  </si>
  <si>
    <t>Parent: $700M</t>
  </si>
  <si>
    <t>Tiger Global, Coatue, Ribbit, Sequoia</t>
  </si>
  <si>
    <t>RBI restrictions on SMB unsecured lending forced product wind-down</t>
  </si>
  <si>
    <t>Innov8 (OYO sub)</t>
  </si>
  <si>
    <t>$4M + OYO acq</t>
  </si>
  <si>
    <t>Credence Family Office, OYO</t>
  </si>
  <si>
    <t>OYO downsized Innov8 sub; couldn't compete with WeWork/Awfis</t>
  </si>
  <si>
    <t>OkCredit (severe distress)</t>
  </si>
  <si>
    <t>Fintech / SMB credit</t>
  </si>
  <si>
    <t>$87M</t>
  </si>
  <si>
    <t>Tiger Global, Lightspeed, BCCL</t>
  </si>
  <si>
    <t>85%+ layoffs over 2023-24; users dropped; couldn't monetize free ledger app</t>
  </si>
  <si>
    <t>Khatabook (Pagarkhata sub)</t>
  </si>
  <si>
    <t>Fintech / SMB ledger</t>
  </si>
  <si>
    <t>Parent: $187M</t>
  </si>
  <si>
    <t>Sequoia, Tencent, RTP Global</t>
  </si>
  <si>
    <t>Wound down Pagarkhata payroll sub; layoffs; pivot</t>
  </si>
  <si>
    <t>Bijak (severe distress)</t>
  </si>
  <si>
    <t>Agritech B2B</t>
  </si>
  <si>
    <t>$31M</t>
  </si>
  <si>
    <t>Sequoia, RTP Global, Tribe Capital</t>
  </si>
  <si>
    <t>Massive layoffs (~85%); couldn't monetize agri B2B at scale</t>
  </si>
  <si>
    <t>Castler (sub)</t>
  </si>
  <si>
    <t>Fintech / Escrow</t>
  </si>
  <si>
    <t>Capital2B, Venture Catalysts</t>
  </si>
  <si>
    <t>Couldn't scale; wound down</t>
  </si>
  <si>
    <t>Multibhashi</t>
  </si>
  <si>
    <t>Edtech / Language learning</t>
  </si>
  <si>
    <t>$3.7M</t>
  </si>
  <si>
    <t>Inflection Point Ventures, Spectrum Impact</t>
  </si>
  <si>
    <t>Post-pandemic edtech contraction; couldn't raise follow-on</t>
  </si>
  <si>
    <t>Avail Finance (severe distress)</t>
  </si>
  <si>
    <t>Fintech / Blue-collar lending</t>
  </si>
  <si>
    <t>Falcon Edge, Matrix, Sequoia</t>
  </si>
  <si>
    <t>Sold to Vivifi in distress; couldn't scale unsecured lending profitably</t>
  </si>
  <si>
    <t>Cars24 (Singapore vertical)</t>
  </si>
  <si>
    <t>Used cars (intl sub)</t>
  </si>
  <si>
    <t>Parent: $1B+</t>
  </si>
  <si>
    <t>SoftBank, Tencent, Tiger Global</t>
  </si>
  <si>
    <t>Shut Singapore, Australia, Italy operations; massive cash burn</t>
  </si>
  <si>
    <t>Spinny (UAE &amp; sub-verticals)</t>
  </si>
  <si>
    <t>Used cars (sub-vertical)</t>
  </si>
  <si>
    <t>Parent: $577M</t>
  </si>
  <si>
    <t>Tiger Global, Avenir, Arena Holdings</t>
  </si>
  <si>
    <t>International + premium sub-verticals shut after burn-rate crisis</t>
  </si>
  <si>
    <t>Polygon ID (severe scale-down)</t>
  </si>
  <si>
    <t>Web3 / Identity</t>
  </si>
  <si>
    <t>$450M (parent)</t>
  </si>
  <si>
    <t>Sequoia, SoftBank, Tiger Global</t>
  </si>
  <si>
    <t>Sub-vertical sunset amid Web3/crypto correction</t>
  </si>
  <si>
    <t>Jeeves (India ops wound down)</t>
  </si>
  <si>
    <t>$430M</t>
  </si>
  <si>
    <t>CRV, Andreessen Horowitz, Tencent</t>
  </si>
  <si>
    <t>India ops wound down amid 30%+ layoffs; couldn't get RBI nod</t>
  </si>
  <si>
    <t>Vahdam Teas (severe distress)</t>
  </si>
  <si>
    <t>D2C tea</t>
  </si>
  <si>
    <t>$32M</t>
  </si>
  <si>
    <t>Sixth Sense Ventures, IIFL</t>
  </si>
  <si>
    <t>Mounting losses, multiple rounds of layoffs</t>
  </si>
  <si>
    <t>Cleartrip (Flipkart sub)</t>
  </si>
  <si>
    <t>Travel OTA</t>
  </si>
  <si>
    <t>Acq by Flipkart</t>
  </si>
  <si>
    <t>Flipkart / Walmart</t>
  </si>
  <si>
    <t>Continued losses; massive layoffs 2023-24; brand effectively de-prioritized</t>
  </si>
  <si>
    <t>Spice Health</t>
  </si>
  <si>
    <t>Healthtech / COVID testing</t>
  </si>
  <si>
    <t>Parent: ₹100 Cr</t>
  </si>
  <si>
    <t>Spice Money / Dilip Modi</t>
  </si>
  <si>
    <t>Post-COVID demand collapse; couldn't pivot diagnostic chain</t>
  </si>
  <si>
    <t>Lyft India ops (Truebil sub)</t>
  </si>
  <si>
    <t>Used cars</t>
  </si>
  <si>
    <t>$35M</t>
  </si>
  <si>
    <t>Inventus, Kalaari, Shunwei</t>
  </si>
  <si>
    <t>Acquired by Spinny in 2021; wound down by 2023</t>
  </si>
  <si>
    <t>AdOnMo</t>
  </si>
  <si>
    <t>Adtech / Digital OOH</t>
  </si>
  <si>
    <t>$10.6M</t>
  </si>
  <si>
    <t>Times Internet, Korea Investment Partners</t>
  </si>
  <si>
    <t>Couldn't scale revenue; cash crunch; significant downsizing</t>
  </si>
  <si>
    <t>Goodbox</t>
  </si>
  <si>
    <t>Local commerce / SaaS</t>
  </si>
  <si>
    <t>$8.3M</t>
  </si>
  <si>
    <t>Nexus Venture Partners, Foundation Capital</t>
  </si>
  <si>
    <t>Couldn't compete with WhatsApp Business; pivoted then wound down</t>
  </si>
  <si>
    <t>GoFloaters</t>
  </si>
  <si>
    <t>Coworking / On-demand spaces</t>
  </si>
  <si>
    <t>Mumbai Angels, Spice Route Ventures</t>
  </si>
  <si>
    <t>Couldn't sustain post-pandemic; weak demand</t>
  </si>
  <si>
    <t>Wynk Studio (Airtel sub)</t>
  </si>
  <si>
    <t>Music creation tools</t>
  </si>
  <si>
    <t>Shut amid Wynk parent service rationalization</t>
  </si>
  <si>
    <t>Sensehawk</t>
  </si>
  <si>
    <t>AI / Solar asset management</t>
  </si>
  <si>
    <t>$22M</t>
  </si>
  <si>
    <t>Sequoia Surge, Falcon Edge</t>
  </si>
  <si>
    <t>US ops severely downsized; couldn't sustain growth</t>
  </si>
  <si>
    <t>Glance/Roposo (InMobi sub)</t>
  </si>
  <si>
    <t>Live commerce / Lock-screen content</t>
  </si>
  <si>
    <t>Parent: $235M</t>
  </si>
  <si>
    <t>InMobi, Google, Mithril Capital</t>
  </si>
  <si>
    <t>Roposo live commerce wound down; mass layoffs across Glance</t>
  </si>
  <si>
    <t>Stoa (Stoa School)</t>
  </si>
  <si>
    <t>Better Capital, Sequoia Surge</t>
  </si>
  <si>
    <t>Couldn't sustain enrollment growth; founders shifted focus</t>
  </si>
  <si>
    <t>Vauld (reorganized)</t>
  </si>
  <si>
    <t>Crypto</t>
  </si>
  <si>
    <t>Peter Thiel, Coinbase, Pantera</t>
  </si>
  <si>
    <t>Crypto-winter user run; couldn't restructure under Singapore moratorium</t>
  </si>
  <si>
    <t>MoneyTap</t>
  </si>
  <si>
    <t>Fintech / Consumer lending</t>
  </si>
  <si>
    <t>$82.3M</t>
  </si>
  <si>
    <t>Sequoia, NEA, Aquiline</t>
  </si>
  <si>
    <t>Significant scale-down + layoffs amid RBI digital lending tightening</t>
  </si>
  <si>
    <t>Kuku FM (Kahaani sub)</t>
  </si>
  <si>
    <t>Audio streaming sub-vertical</t>
  </si>
  <si>
    <t>Parent: $40M</t>
  </si>
  <si>
    <t>International Finance Corp, Krafton</t>
  </si>
  <si>
    <t>Sub-vertical sunset to focus on core Kuku FM</t>
  </si>
  <si>
    <t>ePayLater</t>
  </si>
  <si>
    <t>Fintech / B2B BNPL</t>
  </si>
  <si>
    <t>Pravega, Sistema Asia, GMO Capital</t>
  </si>
  <si>
    <t>Significant scale-down; couldn't navigate BNPL regulation</t>
  </si>
  <si>
    <t>GoDB Tech</t>
  </si>
  <si>
    <t>Enterprise data SaaS</t>
  </si>
  <si>
    <t>Inflection Point, Indian Angel Network</t>
  </si>
  <si>
    <t>Couldn't scale enterprise pipeline; cash crunch</t>
  </si>
  <si>
    <t>Slick Pay</t>
  </si>
  <si>
    <t>Fintech / Payments</t>
  </si>
  <si>
    <t>Lightspeed, Y Combinator</t>
  </si>
  <si>
    <t>Couldn't differentiate vs PhonePe/GPay; wound down</t>
  </si>
  <si>
    <t>Stayflexi</t>
  </si>
  <si>
    <t>Travel tech / Hotel SaaS</t>
  </si>
  <si>
    <t>$10M</t>
  </si>
  <si>
    <t>Tiger Global, Lightspeed, Sequoia Surge</t>
  </si>
  <si>
    <t>US operations wound down; significant downsizing</t>
  </si>
  <si>
    <t>Pesto Tech</t>
  </si>
  <si>
    <t>Edtech / Remote engineering bootcamp</t>
  </si>
  <si>
    <t>Matrix Partners India, Susa Ventures</t>
  </si>
  <si>
    <t>Tech-hiring slowdown destroyed placement model; couldn't pivot</t>
  </si>
  <si>
    <t>Trendlyne (Sambodhi sub)</t>
  </si>
  <si>
    <t>Fintech sub-vertical</t>
  </si>
  <si>
    <t>Capital2B</t>
  </si>
  <si>
    <t>Sub-vertical sunset</t>
  </si>
  <si>
    <t>Lokal (LokalApp - sub)</t>
  </si>
  <si>
    <t>Hyperlocal news sub</t>
  </si>
  <si>
    <t>Parent: $19.4M</t>
  </si>
  <si>
    <t>India Quotient, 3one4 Capital, Y Combinator</t>
  </si>
  <si>
    <t>Sub-line wound down; pivoted to discovery</t>
  </si>
  <si>
    <t>Frapp</t>
  </si>
  <si>
    <t>Recruitment / Student internships</t>
  </si>
  <si>
    <t>$1.7M</t>
  </si>
  <si>
    <t>Times Internet, Lightbox, Y Combinator</t>
  </si>
  <si>
    <t>Acquired by Unstop; original brand wound down</t>
  </si>
  <si>
    <t>Lendingkart Group (severe distress)</t>
  </si>
  <si>
    <t>Fintech / SME lending</t>
  </si>
  <si>
    <t>$259M</t>
  </si>
  <si>
    <t>Fullerton, Sistema, Bertelsmann, Sun Pharma</t>
  </si>
  <si>
    <t>Mass layoffs; AUM shrunk; FY24 loss ₹342 Cr; sold to Fullerton in distress 2025</t>
  </si>
  <si>
    <t>Gujarat</t>
  </si>
  <si>
    <t>MFine (effectively absorbed)</t>
  </si>
  <si>
    <t>Healthtech</t>
  </si>
  <si>
    <t>SBI Investment, BEENEXT, Prime Venture Partners</t>
  </si>
  <si>
    <t>Couldn't raise; sold to LifeWell Health in distress; brand wound down</t>
  </si>
  <si>
    <t>Bombay Shaving Co (Bombae sub)</t>
  </si>
  <si>
    <t>D2C grooming sub</t>
  </si>
  <si>
    <t>Parent: $80M</t>
  </si>
  <si>
    <t>Reckitt, Colgate, Sixth Sense</t>
  </si>
  <si>
    <t>Women's grooming sub-line discontinued; weak unit economics</t>
  </si>
  <si>
    <t>Slurrp Farm (severe distress)</t>
  </si>
  <si>
    <t>D2C kids' food</t>
  </si>
  <si>
    <t>Fireside Ventures, Anicut, 1crowd</t>
  </si>
  <si>
    <t>Couldn't sustain margins; significant layoffs</t>
  </si>
  <si>
    <t>Curefit (Cult.fit) Eat.fit</t>
  </si>
  <si>
    <t>Healthy meals sub-vertical</t>
  </si>
  <si>
    <t>Parent: $686M</t>
  </si>
  <si>
    <t>Accel, Kalaari, Tata, IDG, Temasek</t>
  </si>
  <si>
    <t>Eat.fit + Care.fit verticals wound down to focus on Cult fitness</t>
  </si>
  <si>
    <t>Curefit Mind.fit</t>
  </si>
  <si>
    <t>Mental wellness sub</t>
  </si>
  <si>
    <t>Accel, Kalaari, Temasek</t>
  </si>
  <si>
    <t>Vertical sunset during Curefit restructuring</t>
  </si>
  <si>
    <t>ZebPay (India ops paused)</t>
  </si>
  <si>
    <t>ConsenSys, Beenext</t>
  </si>
  <si>
    <t>Crypto winter + Indian regulation; mass layoffs, ops minimized</t>
  </si>
  <si>
    <t>Coinswitch Kuber (severe scale-down)</t>
  </si>
  <si>
    <t>$300M</t>
  </si>
  <si>
    <t>Andreessen Horowitz, Sequoia, Coinbase, Tiger Global</t>
  </si>
  <si>
    <t>Massive 90%+ revenue drop post crypto tax; layoffs; investors sought wind-down</t>
  </si>
  <si>
    <t>CoinDCX (severe scale-down)</t>
  </si>
  <si>
    <t>$245M</t>
  </si>
  <si>
    <t>Pantera, Coinbase, B Capital, Polychain</t>
  </si>
  <si>
    <t>Crypto tax + 30%+ layoffs; revenue collapse; partial scale-down</t>
  </si>
  <si>
    <t>Citymall (severe distress)</t>
  </si>
  <si>
    <t>Social commerce / Tier-2 ecommerce</t>
  </si>
  <si>
    <t>$110M</t>
  </si>
  <si>
    <t>Accel, Norwest, Elevation, General Catalyst</t>
  </si>
  <si>
    <t>85% layoffs over 2 years; couldn't compete with Meesho on CAC</t>
  </si>
  <si>
    <t>MagicHomes / MagicBricks (sub)</t>
  </si>
  <si>
    <t>Real-estate sub-vertical</t>
  </si>
  <si>
    <t>Times Internet</t>
  </si>
  <si>
    <t>Sub-vertical wound down</t>
  </si>
  <si>
    <t>Letsdressup (Sirona) — D2C kids</t>
  </si>
  <si>
    <t>D2C kids' fashion</t>
  </si>
  <si>
    <t>Saama Capital, Surge</t>
  </si>
  <si>
    <t>Couldn't sustain D2C economics; wound down</t>
  </si>
  <si>
    <t>Whitemonk</t>
  </si>
  <si>
    <t>B2B SaaS / Workflow</t>
  </si>
  <si>
    <t>Cash crunch; couldn't raise Series A</t>
  </si>
  <si>
    <t>Klub</t>
  </si>
  <si>
    <t>Sequoia Surge, Alter Global</t>
  </si>
  <si>
    <t>Mass layoffs; RBFI demand evaporated; major scale-down</t>
  </si>
  <si>
    <t>GetVantage (severe scale-down)</t>
  </si>
  <si>
    <t>Chiratae, DMI Sparkle Fund, Varanium</t>
  </si>
  <si>
    <t>RBFI category collapse; major layoffs; book sale considered</t>
  </si>
  <si>
    <t>Skye Air Mobility (vertical)</t>
  </si>
  <si>
    <t>Drone logistics</t>
  </si>
  <si>
    <t>Chiratae, IIM-A Ventures</t>
  </si>
  <si>
    <t>Couldn't commercialize drone delivery; significant scale-down</t>
  </si>
  <si>
    <t>Vyapar (severe scale-down)</t>
  </si>
  <si>
    <t>SMB SaaS / Accounting</t>
  </si>
  <si>
    <t>$30M</t>
  </si>
  <si>
    <t>WestBridge, Indian Quotient</t>
  </si>
  <si>
    <t>Major layoffs; couldn't sustain freemium-to-paid funnel at scale</t>
  </si>
  <si>
    <t>Inshorts (Public.app vertical)</t>
  </si>
  <si>
    <t>Social media / Stock discussion</t>
  </si>
  <si>
    <t>Parent: $90M+</t>
  </si>
  <si>
    <t>Tiger Global, Vy Capital, Greenoaks</t>
  </si>
  <si>
    <t>Public.app vertical scale-down amid regulatory tightening on social finance</t>
  </si>
  <si>
    <t>Phyllo (effectively wound down)</t>
  </si>
  <si>
    <t>Creator economy API SaaS</t>
  </si>
  <si>
    <t>RTP Global, Nexus, Better Capital</t>
  </si>
  <si>
    <t>Significant scale-down; couldn't reach revenue scale</t>
  </si>
  <si>
    <t>Doosra</t>
  </si>
  <si>
    <t>Telecom / Privacy phone numbers</t>
  </si>
  <si>
    <t>Omidyar, India Quotient</t>
  </si>
  <si>
    <t>Couldn't sustain telecom partnership economics; wound down</t>
  </si>
  <si>
    <t>PadhAI</t>
  </si>
  <si>
    <t>Edtech / AI courses</t>
  </si>
  <si>
    <t>Founder shifted to research; wound down</t>
  </si>
  <si>
    <t>Eatfit (Curefit sub - re-listed)</t>
  </si>
  <si>
    <t>Cloud kitchens consolidated under Curefit umbrella; original brand wound down</t>
  </si>
  <si>
    <t>Shopkirana (severe scale-down)</t>
  </si>
  <si>
    <t>B2B retail commerce</t>
  </si>
  <si>
    <t>$77M</t>
  </si>
  <si>
    <t>Info Edge, Sistema Asia, Incofin</t>
  </si>
  <si>
    <t>Massive layoffs; couldn't sustain unit economics; ops cut to a fraction</t>
  </si>
  <si>
    <t>Madhya Pradesh</t>
  </si>
  <si>
    <t>B9 (severe distress)</t>
  </si>
  <si>
    <t>$11M</t>
  </si>
  <si>
    <t>Lightspeed, Ribbit</t>
  </si>
  <si>
    <t>Couldn't sustain lending book; major layoffs</t>
  </si>
  <si>
    <t>Locobuzz (severe distress)</t>
  </si>
  <si>
    <t>SaaS / Customer experience</t>
  </si>
  <si>
    <t>$14M</t>
  </si>
  <si>
    <t>Ascent Capital, IIFL</t>
  </si>
  <si>
    <t>Couldn't sustain SaaS growth; significant scale-down</t>
  </si>
  <si>
    <t>Pickrr (Shiprocket acq distress)</t>
  </si>
  <si>
    <t>Logistics / D2C shipping</t>
  </si>
  <si>
    <t>Bertelsmann, Guild Capital</t>
  </si>
  <si>
    <t>Sold to Shiprocket; brand wound down post-acquisition</t>
  </si>
  <si>
    <t>Bizongo (severe distress)</t>
  </si>
  <si>
    <t>B2B packaging</t>
  </si>
  <si>
    <t>$252M</t>
  </si>
  <si>
    <t>Tiger Global, Accel, IFC, Schroders</t>
  </si>
  <si>
    <t>Mass layoffs (~80%); CEO exit; couldn't service debt; insolvency proceedings</t>
  </si>
  <si>
    <t>DroneAcharya (severe distress)</t>
  </si>
  <si>
    <t>Drone training &amp; services</t>
  </si>
  <si>
    <t>Multiple angel investors</t>
  </si>
  <si>
    <t>Stock price collapsed &gt;90%; couldn't scale services arm</t>
  </si>
  <si>
    <t>IPO</t>
  </si>
  <si>
    <t>Captain Fresh (severe scale-down)</t>
  </si>
  <si>
    <t>Seafood supply chain</t>
  </si>
  <si>
    <t>$175M</t>
  </si>
  <si>
    <t>Tiger Global, Accel, Prosus</t>
  </si>
  <si>
    <t>Mass layoffs; couldn't sustain unit economics in cold-chain</t>
  </si>
  <si>
    <t>Apna (severe scale-down)</t>
  </si>
  <si>
    <t>Recruitment / Blue-collar jobs</t>
  </si>
  <si>
    <t>$190M</t>
  </si>
  <si>
    <t>Tiger Global, Insight Partners, Sequoia</t>
  </si>
  <si>
    <t>Multiple rounds of layoffs; valuation marked down significantly</t>
  </si>
  <si>
    <t>Eka Care (vertical scale-down)</t>
  </si>
  <si>
    <t>Healthtech sub-verticals</t>
  </si>
  <si>
    <t>$20M</t>
  </si>
  <si>
    <t>Verlinvest, 3one4 Capital</t>
  </si>
  <si>
    <t>Couldn't monetize free PHR app at scale; layoffs</t>
  </si>
  <si>
    <t>Park+ (severe scale-down)</t>
  </si>
  <si>
    <t>Mobility / Parking</t>
  </si>
  <si>
    <t>$98M</t>
  </si>
  <si>
    <t>Sequoia, Matrix, Epiq, Z47</t>
  </si>
  <si>
    <t>Major layoffs; couldn't sustain growth across verticals</t>
  </si>
  <si>
    <t>Klimb</t>
  </si>
  <si>
    <t>HR SaaS / ATS</t>
  </si>
  <si>
    <t>Couldn't scale; founder shifted focus</t>
  </si>
  <si>
    <t>Unacademy (severe scale-down)</t>
  </si>
  <si>
    <t>$880M</t>
  </si>
  <si>
    <t>SoftBank, Tiger Global, General Atlantic</t>
  </si>
  <si>
    <t>5 rounds of layoffs &gt;3000 staff; valuation crashed to ~$800M from $3.4B; offline biz shut</t>
  </si>
  <si>
    <t>Pharmeasy (severe distress)</t>
  </si>
  <si>
    <t>E-pharmacy</t>
  </si>
  <si>
    <t>$1.6B</t>
  </si>
  <si>
    <t>Prosus, Temasek, TPG, CDPQ</t>
  </si>
  <si>
    <t>Valuation cut 90%+ to ~$500M; rights issue at 92% discount; mass layoffs</t>
  </si>
  <si>
    <t>Udaan (severe distress)</t>
  </si>
  <si>
    <t>Lightspeed, GGV, DST Global, Tencent</t>
  </si>
  <si>
    <t>Valuation crashed 60%+; multiple layoff rounds; FY24 loss ₹2,395 Cr</t>
  </si>
  <si>
    <t>Vedantu (severe scale-down)</t>
  </si>
  <si>
    <t>Coatue, Tiger Global, GGV, ABC World</t>
  </si>
  <si>
    <t>5+ layoff rounds, ~5000 employees cut; valuation slashed from $1B</t>
  </si>
  <si>
    <t>Spicemoney (severe distress)</t>
  </si>
  <si>
    <t>Fintech / Rural payments</t>
  </si>
  <si>
    <t>$72M</t>
  </si>
  <si>
    <t>B Capital, DST Global, Lightspeed</t>
  </si>
  <si>
    <t>Mass layoffs, founder exits, AePS rev decline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</si>
</sst>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₹&quot;#,##0.0_);\(&quot;₹&quot;#,##0.0\);\-"/>
    <numFmt numFmtId="165" formatCode="&quot;₹&quot;#,##0_);\(&quot;₹&quot;#,##0\);\-"/>
    <numFmt numFmtId="166" formatCode="0.0%;\(0.0%\);\-"/>
    <numFmt numFmtId="167" formatCode="0.0&quot;x&quot;"/>
    <numFmt numFmtId="168" formatCode="&quot;₹&quot;#,##0.00_);\(&quot;₹&quot;#,##0.00\);\-"/>
    <numFmt numFmtId="169" formatCode="0&quot;%&quot;"/>
    <numFmt numFmtId="170" formatCode="#,##0.0&quot;M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4" borderId="4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164" fontId="0" fillId="4" borderId="5" xfId="0" applyNumberFormat="1" applyFill="1" applyBorder="1" applyAlignment="1">
      <alignment vertical="top" wrapText="1"/>
    </xf>
    <xf numFmtId="1" fontId="0" fillId="4" borderId="5" xfId="0" applyNumberFormat="1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3" fontId="0" fillId="4" borderId="5" xfId="0" applyNumberFormat="1" applyFill="1" applyBorder="1" applyAlignment="1">
      <alignment vertical="top" wrapText="1"/>
    </xf>
    <xf numFmtId="165" fontId="0" fillId="4" borderId="5" xfId="0" applyNumberFormat="1" applyFill="1" applyBorder="1" applyAlignment="1">
      <alignment vertical="top" wrapText="1"/>
    </xf>
    <xf numFmtId="166" fontId="0" fillId="4" borderId="5" xfId="0" applyNumberFormat="1" applyFill="1" applyBorder="1" applyAlignment="1">
      <alignment vertical="top" wrapText="1"/>
    </xf>
    <xf numFmtId="167" fontId="0" fillId="4" borderId="5" xfId="0" applyNumberFormat="1" applyFill="1" applyBorder="1" applyAlignment="1">
      <alignment vertical="top" wrapText="1"/>
    </xf>
    <xf numFmtId="168" fontId="0" fillId="4" borderId="5" xfId="0" applyNumberFormat="1" applyFill="1" applyBorder="1" applyAlignment="1">
      <alignment vertical="top" wrapText="1"/>
    </xf>
    <xf numFmtId="169" fontId="0" fillId="4" borderId="5" xfId="0" applyNumberFormat="1" applyFill="1" applyBorder="1" applyAlignment="1">
      <alignment vertical="top" wrapText="1"/>
    </xf>
    <xf numFmtId="170" fontId="0" fillId="4" borderId="6" xfId="0" applyNumberFormat="1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164" fontId="0" fillId="5" borderId="5" xfId="0" applyNumberFormat="1" applyFill="1" applyBorder="1" applyAlignment="1">
      <alignment vertical="top" wrapText="1"/>
    </xf>
    <xf numFmtId="1" fontId="0" fillId="5" borderId="5" xfId="0" applyNumberFormat="1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3" fontId="0" fillId="5" borderId="5" xfId="0" applyNumberFormat="1" applyFill="1" applyBorder="1" applyAlignment="1">
      <alignment vertical="top" wrapText="1"/>
    </xf>
    <xf numFmtId="165" fontId="0" fillId="5" borderId="5" xfId="0" applyNumberFormat="1" applyFill="1" applyBorder="1" applyAlignment="1">
      <alignment vertical="top" wrapText="1"/>
    </xf>
    <xf numFmtId="166" fontId="0" fillId="5" borderId="5" xfId="0" applyNumberFormat="1" applyFill="1" applyBorder="1" applyAlignment="1">
      <alignment vertical="top" wrapText="1"/>
    </xf>
    <xf numFmtId="167" fontId="0" fillId="5" borderId="5" xfId="0" applyNumberFormat="1" applyFill="1" applyBorder="1" applyAlignment="1">
      <alignment vertical="top" wrapText="1"/>
    </xf>
    <xf numFmtId="168" fontId="0" fillId="5" borderId="5" xfId="0" applyNumberFormat="1" applyFill="1" applyBorder="1" applyAlignment="1">
      <alignment vertical="top" wrapText="1"/>
    </xf>
    <xf numFmtId="169" fontId="0" fillId="5" borderId="5" xfId="0" applyNumberFormat="1" applyFill="1" applyBorder="1" applyAlignment="1">
      <alignment vertical="top" wrapText="1"/>
    </xf>
    <xf numFmtId="170" fontId="0" fillId="5" borderId="6" xfId="0" applyNumberFormat="1" applyFill="1" applyBorder="1" applyAlignment="1">
      <alignment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10" xfId="0" applyFill="1" applyBorder="1" applyAlignment="1">
      <alignment vertical="top" wrapText="1"/>
    </xf>
    <xf numFmtId="0" fontId="0" fillId="4" borderId="11" xfId="0" applyFill="1" applyBorder="1" applyAlignment="1">
      <alignment vertical="top" wrapText="1"/>
    </xf>
    <xf numFmtId="164" fontId="0" fillId="4" borderId="11" xfId="0" applyNumberFormat="1" applyFill="1" applyBorder="1" applyAlignment="1">
      <alignment vertical="top" wrapText="1"/>
    </xf>
    <xf numFmtId="1" fontId="0" fillId="4" borderId="11" xfId="0" applyNumberFormat="1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3" fontId="0" fillId="4" borderId="11" xfId="0" applyNumberFormat="1" applyFill="1" applyBorder="1" applyAlignment="1">
      <alignment vertical="top" wrapText="1"/>
    </xf>
    <xf numFmtId="165" fontId="0" fillId="4" borderId="11" xfId="0" applyNumberFormat="1" applyFill="1" applyBorder="1" applyAlignment="1">
      <alignment vertical="top" wrapText="1"/>
    </xf>
    <xf numFmtId="166" fontId="0" fillId="4" borderId="11" xfId="0" applyNumberFormat="1" applyFill="1" applyBorder="1" applyAlignment="1">
      <alignment vertical="top" wrapText="1"/>
    </xf>
    <xf numFmtId="167" fontId="0" fillId="4" borderId="11" xfId="0" applyNumberFormat="1" applyFill="1" applyBorder="1" applyAlignment="1">
      <alignment vertical="top" wrapText="1"/>
    </xf>
    <xf numFmtId="168" fontId="0" fillId="4" borderId="11" xfId="0" applyNumberFormat="1" applyFill="1" applyBorder="1" applyAlignment="1">
      <alignment vertical="top" wrapText="1"/>
    </xf>
    <xf numFmtId="169" fontId="0" fillId="4" borderId="11" xfId="0" applyNumberFormat="1" applyFill="1" applyBorder="1" applyAlignment="1">
      <alignment vertical="top" wrapText="1"/>
    </xf>
    <xf numFmtId="170" fontId="0" fillId="4" borderId="12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6"/>
  <sheetViews>
    <sheetView tabSelected="1" workbookViewId="0">
      <selection activeCell="E5" sqref="E5"/>
    </sheetView>
  </sheetViews>
  <sheetFormatPr defaultRowHeight="14.4" x14ac:dyDescent="0.3"/>
  <cols>
    <col min="1" max="1" width="6.44140625" customWidth="1"/>
    <col min="2" max="2" width="25.88671875" customWidth="1"/>
    <col min="3" max="3" width="24.109375" customWidth="1"/>
    <col min="4" max="4" width="11.109375" customWidth="1"/>
    <col min="5" max="5" width="13" customWidth="1"/>
    <col min="6" max="6" width="20.33203125" customWidth="1"/>
    <col min="7" max="7" width="37" customWidth="1"/>
    <col min="8" max="8" width="59.21875" customWidth="1"/>
    <col min="9" max="9" width="20.33203125" customWidth="1"/>
    <col min="10" max="10" width="13" customWidth="1"/>
    <col min="11" max="11" width="10.21875" customWidth="1"/>
    <col min="12" max="13" width="11.109375" customWidth="1"/>
    <col min="14" max="15" width="16.6640625" customWidth="1"/>
    <col min="16" max="16" width="20.33203125" customWidth="1"/>
    <col min="17" max="17" width="13.88671875" customWidth="1"/>
    <col min="18" max="24" width="14.77734375" customWidth="1"/>
    <col min="25" max="27" width="16.6640625" customWidth="1"/>
    <col min="28" max="28" width="13.88671875" customWidth="1"/>
    <col min="29" max="30" width="15.77734375" customWidth="1"/>
    <col min="31" max="31" width="13.88671875" customWidth="1"/>
  </cols>
  <sheetData>
    <row r="1" spans="1:31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" spans="1:31" ht="28.8" x14ac:dyDescent="0.3">
      <c r="A3" s="2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5" t="s">
        <v>31</v>
      </c>
    </row>
    <row r="4" spans="1:31" ht="37.950000000000003" customHeight="1" x14ac:dyDescent="0.3">
      <c r="A4" s="6">
        <v>1</v>
      </c>
      <c r="B4" s="7" t="s">
        <v>32</v>
      </c>
      <c r="C4" s="7" t="s">
        <v>33</v>
      </c>
      <c r="D4" s="7">
        <v>2014</v>
      </c>
      <c r="E4" s="7">
        <v>2025</v>
      </c>
      <c r="F4" s="7" t="s">
        <v>34</v>
      </c>
      <c r="G4" s="7" t="s">
        <v>35</v>
      </c>
      <c r="H4" s="7" t="s">
        <v>36</v>
      </c>
      <c r="I4" s="7" t="s">
        <v>37</v>
      </c>
      <c r="J4" s="8">
        <v>452</v>
      </c>
      <c r="K4" s="9">
        <f>D4</f>
        <v>2014</v>
      </c>
      <c r="L4" s="9">
        <f>E4</f>
        <v>2025</v>
      </c>
      <c r="M4" s="9">
        <f>L4-K4</f>
        <v>11</v>
      </c>
      <c r="N4" s="10" t="s">
        <v>38</v>
      </c>
      <c r="O4" s="10" t="s">
        <v>39</v>
      </c>
      <c r="P4" s="10" t="s">
        <v>40</v>
      </c>
      <c r="Q4" s="11">
        <v>2000</v>
      </c>
      <c r="R4" s="12">
        <v>800</v>
      </c>
      <c r="S4" s="8">
        <v>6</v>
      </c>
      <c r="T4" s="8">
        <v>25</v>
      </c>
      <c r="U4" s="8">
        <v>8</v>
      </c>
      <c r="V4" s="8">
        <v>56</v>
      </c>
      <c r="W4" s="8">
        <v>219</v>
      </c>
      <c r="X4" s="8">
        <v>80</v>
      </c>
      <c r="Y4" s="13">
        <f>IFERROR(IF(S4=0,"n/a",(T4-S4)/S4),"n/a")</f>
        <v>3.1666666666666665</v>
      </c>
      <c r="Z4" s="13">
        <f>IFERROR(IF(T4=0,"n/a",(U4-T4)/T4),"n/a")</f>
        <v>-0.68</v>
      </c>
      <c r="AA4" s="14">
        <f>IFERROR(IF(T4=0,"n/a",W4/T4),"n/a")</f>
        <v>8.76</v>
      </c>
      <c r="AB4" s="15">
        <v>6</v>
      </c>
      <c r="AC4" s="16">
        <v>100</v>
      </c>
      <c r="AD4" s="16">
        <v>95</v>
      </c>
      <c r="AE4" s="17">
        <v>8</v>
      </c>
    </row>
    <row r="5" spans="1:31" ht="37.950000000000003" customHeight="1" x14ac:dyDescent="0.3">
      <c r="A5" s="18">
        <v>2</v>
      </c>
      <c r="B5" s="19" t="s">
        <v>41</v>
      </c>
      <c r="C5" s="19" t="s">
        <v>42</v>
      </c>
      <c r="D5" s="19">
        <v>2019</v>
      </c>
      <c r="E5" s="19">
        <v>2025</v>
      </c>
      <c r="F5" s="19" t="s">
        <v>43</v>
      </c>
      <c r="G5" s="19" t="s">
        <v>44</v>
      </c>
      <c r="H5" s="19" t="s">
        <v>45</v>
      </c>
      <c r="I5" s="19" t="s">
        <v>46</v>
      </c>
      <c r="J5" s="20">
        <v>168</v>
      </c>
      <c r="K5" s="21">
        <f t="shared" ref="K5:L68" si="0">D5</f>
        <v>2019</v>
      </c>
      <c r="L5" s="21">
        <f t="shared" si="0"/>
        <v>2025</v>
      </c>
      <c r="M5" s="21">
        <f t="shared" ref="M5:M68" si="1">L5-K5</f>
        <v>6</v>
      </c>
      <c r="N5" s="22" t="s">
        <v>47</v>
      </c>
      <c r="O5" s="22" t="s">
        <v>48</v>
      </c>
      <c r="P5" s="22" t="s">
        <v>49</v>
      </c>
      <c r="Q5" s="23">
        <v>10000</v>
      </c>
      <c r="R5" s="24">
        <v>400</v>
      </c>
      <c r="S5" s="20">
        <v>5</v>
      </c>
      <c r="T5" s="20">
        <v>47</v>
      </c>
      <c r="U5" s="20">
        <v>50</v>
      </c>
      <c r="V5" s="20">
        <v>21</v>
      </c>
      <c r="W5" s="20">
        <v>64</v>
      </c>
      <c r="X5" s="20">
        <v>25</v>
      </c>
      <c r="Y5" s="25">
        <f t="shared" ref="Y5:Z68" si="2">IFERROR(IF(S5=0,"n/a",(T5-S5)/S5),"n/a")</f>
        <v>8.4</v>
      </c>
      <c r="Z5" s="25">
        <f t="shared" si="2"/>
        <v>6.3829787234042548E-2</v>
      </c>
      <c r="AA5" s="26">
        <f t="shared" ref="AA5:AA68" si="3">IFERROR(IF(T5=0,"n/a",W5/T5),"n/a")</f>
        <v>1.3617021276595744</v>
      </c>
      <c r="AB5" s="27">
        <v>4.5</v>
      </c>
      <c r="AC5" s="28">
        <v>75</v>
      </c>
      <c r="AD5" s="28">
        <v>100</v>
      </c>
      <c r="AE5" s="29">
        <v>0.3</v>
      </c>
    </row>
    <row r="6" spans="1:31" ht="37.950000000000003" customHeight="1" x14ac:dyDescent="0.3">
      <c r="A6" s="6">
        <v>3</v>
      </c>
      <c r="B6" s="7" t="s">
        <v>50</v>
      </c>
      <c r="C6" s="7" t="s">
        <v>51</v>
      </c>
      <c r="D6" s="7">
        <v>2015</v>
      </c>
      <c r="E6" s="7">
        <v>2025</v>
      </c>
      <c r="F6" s="7" t="s">
        <v>52</v>
      </c>
      <c r="G6" s="7" t="s">
        <v>53</v>
      </c>
      <c r="H6" s="7" t="s">
        <v>54</v>
      </c>
      <c r="I6" s="7" t="s">
        <v>55</v>
      </c>
      <c r="J6" s="8">
        <v>352</v>
      </c>
      <c r="K6" s="9">
        <f t="shared" si="0"/>
        <v>2015</v>
      </c>
      <c r="L6" s="9">
        <f t="shared" si="0"/>
        <v>2025</v>
      </c>
      <c r="M6" s="9">
        <f t="shared" si="1"/>
        <v>10</v>
      </c>
      <c r="N6" s="10" t="s">
        <v>56</v>
      </c>
      <c r="O6" s="10" t="s">
        <v>57</v>
      </c>
      <c r="P6" s="10" t="s">
        <v>58</v>
      </c>
      <c r="Q6" s="11">
        <v>1500</v>
      </c>
      <c r="R6" s="12">
        <v>1250</v>
      </c>
      <c r="S6" s="8">
        <v>75</v>
      </c>
      <c r="T6" s="8">
        <v>91</v>
      </c>
      <c r="U6" s="8">
        <v>60</v>
      </c>
      <c r="V6" s="8">
        <v>16</v>
      </c>
      <c r="W6" s="8">
        <v>40</v>
      </c>
      <c r="X6" s="8">
        <v>60</v>
      </c>
      <c r="Y6" s="13">
        <f t="shared" si="2"/>
        <v>0.21333333333333335</v>
      </c>
      <c r="Z6" s="13">
        <f t="shared" si="2"/>
        <v>-0.34065934065934067</v>
      </c>
      <c r="AA6" s="14">
        <f t="shared" si="3"/>
        <v>0.43956043956043955</v>
      </c>
      <c r="AB6" s="15">
        <v>5</v>
      </c>
      <c r="AC6" s="16">
        <v>90</v>
      </c>
      <c r="AD6" s="16">
        <v>85</v>
      </c>
      <c r="AE6" s="17">
        <v>5</v>
      </c>
    </row>
    <row r="7" spans="1:31" ht="37.950000000000003" customHeight="1" x14ac:dyDescent="0.3">
      <c r="A7" s="18">
        <v>4</v>
      </c>
      <c r="B7" s="19" t="s">
        <v>59</v>
      </c>
      <c r="C7" s="19" t="s">
        <v>60</v>
      </c>
      <c r="D7" s="19">
        <v>2016</v>
      </c>
      <c r="E7" s="19">
        <v>2025</v>
      </c>
      <c r="F7" s="19" t="s">
        <v>61</v>
      </c>
      <c r="G7" s="19" t="s">
        <v>62</v>
      </c>
      <c r="H7" s="19" t="s">
        <v>63</v>
      </c>
      <c r="I7" s="19" t="s">
        <v>64</v>
      </c>
      <c r="J7" s="20">
        <v>450</v>
      </c>
      <c r="K7" s="21">
        <f t="shared" si="0"/>
        <v>2016</v>
      </c>
      <c r="L7" s="21">
        <f t="shared" si="0"/>
        <v>2025</v>
      </c>
      <c r="M7" s="21">
        <f t="shared" si="1"/>
        <v>9</v>
      </c>
      <c r="N7" s="22" t="s">
        <v>38</v>
      </c>
      <c r="O7" s="22" t="s">
        <v>65</v>
      </c>
      <c r="P7" s="22" t="s">
        <v>40</v>
      </c>
      <c r="Q7" s="23">
        <v>800</v>
      </c>
      <c r="R7" s="24">
        <v>1500</v>
      </c>
      <c r="S7" s="20">
        <v>50</v>
      </c>
      <c r="T7" s="20">
        <v>140</v>
      </c>
      <c r="U7" s="20">
        <v>22</v>
      </c>
      <c r="V7" s="20">
        <v>60</v>
      </c>
      <c r="W7" s="20">
        <v>130</v>
      </c>
      <c r="X7" s="20">
        <v>80</v>
      </c>
      <c r="Y7" s="25">
        <f t="shared" si="2"/>
        <v>1.8</v>
      </c>
      <c r="Z7" s="25">
        <f t="shared" si="2"/>
        <v>-0.84285714285714286</v>
      </c>
      <c r="AA7" s="26">
        <f t="shared" si="3"/>
        <v>0.9285714285714286</v>
      </c>
      <c r="AB7" s="27">
        <v>7</v>
      </c>
      <c r="AC7" s="28">
        <v>80</v>
      </c>
      <c r="AD7" s="28">
        <v>80</v>
      </c>
      <c r="AE7" s="29">
        <v>1.5</v>
      </c>
    </row>
    <row r="8" spans="1:31" ht="37.950000000000003" customHeight="1" x14ac:dyDescent="0.3">
      <c r="A8" s="6">
        <v>5</v>
      </c>
      <c r="B8" s="7" t="s">
        <v>66</v>
      </c>
      <c r="C8" s="7" t="s">
        <v>67</v>
      </c>
      <c r="D8" s="7">
        <v>2020</v>
      </c>
      <c r="E8" s="7">
        <v>2024</v>
      </c>
      <c r="F8" s="7" t="s">
        <v>68</v>
      </c>
      <c r="G8" s="7" t="s">
        <v>69</v>
      </c>
      <c r="H8" s="7" t="s">
        <v>70</v>
      </c>
      <c r="I8" s="7" t="s">
        <v>71</v>
      </c>
      <c r="J8" s="8">
        <v>66</v>
      </c>
      <c r="K8" s="9">
        <f t="shared" si="0"/>
        <v>2020</v>
      </c>
      <c r="L8" s="9">
        <f t="shared" si="0"/>
        <v>2024</v>
      </c>
      <c r="M8" s="9">
        <f t="shared" si="1"/>
        <v>4</v>
      </c>
      <c r="N8" s="10" t="s">
        <v>38</v>
      </c>
      <c r="O8" s="10" t="s">
        <v>48</v>
      </c>
      <c r="P8" s="10" t="s">
        <v>40</v>
      </c>
      <c r="Q8" s="11">
        <v>260</v>
      </c>
      <c r="R8" s="12">
        <v>275</v>
      </c>
      <c r="S8" s="8">
        <v>0.5</v>
      </c>
      <c r="T8" s="8">
        <v>1.1000000000000001</v>
      </c>
      <c r="U8" s="8">
        <v>0.6</v>
      </c>
      <c r="V8" s="8">
        <v>25</v>
      </c>
      <c r="W8" s="8">
        <v>33</v>
      </c>
      <c r="X8" s="8">
        <v>17</v>
      </c>
      <c r="Y8" s="13">
        <f t="shared" si="2"/>
        <v>1.2000000000000002</v>
      </c>
      <c r="Z8" s="13">
        <f t="shared" si="2"/>
        <v>-0.45454545454545459</v>
      </c>
      <c r="AA8" s="14">
        <f t="shared" si="3"/>
        <v>29.999999999999996</v>
      </c>
      <c r="AB8" s="15">
        <v>2.8</v>
      </c>
      <c r="AC8" s="16">
        <v>95</v>
      </c>
      <c r="AD8" s="16">
        <v>100</v>
      </c>
      <c r="AE8" s="17">
        <v>8</v>
      </c>
    </row>
    <row r="9" spans="1:31" ht="37.950000000000003" customHeight="1" x14ac:dyDescent="0.3">
      <c r="A9" s="18">
        <v>6</v>
      </c>
      <c r="B9" s="19" t="s">
        <v>72</v>
      </c>
      <c r="C9" s="19" t="s">
        <v>73</v>
      </c>
      <c r="D9" s="19">
        <v>2021</v>
      </c>
      <c r="E9" s="19">
        <v>2024</v>
      </c>
      <c r="F9" s="19" t="s">
        <v>74</v>
      </c>
      <c r="G9" s="19" t="s">
        <v>75</v>
      </c>
      <c r="H9" s="19" t="s">
        <v>76</v>
      </c>
      <c r="I9" s="19" t="s">
        <v>77</v>
      </c>
      <c r="J9" s="20">
        <v>17.5</v>
      </c>
      <c r="K9" s="21">
        <f t="shared" si="0"/>
        <v>2021</v>
      </c>
      <c r="L9" s="21">
        <f t="shared" si="0"/>
        <v>2024</v>
      </c>
      <c r="M9" s="21">
        <f t="shared" si="1"/>
        <v>3</v>
      </c>
      <c r="N9" s="22" t="s">
        <v>38</v>
      </c>
      <c r="O9" s="22" t="s">
        <v>78</v>
      </c>
      <c r="P9" s="22" t="s">
        <v>79</v>
      </c>
      <c r="Q9" s="23">
        <v>60</v>
      </c>
      <c r="R9" s="24">
        <v>70</v>
      </c>
      <c r="S9" s="20">
        <v>0.5</v>
      </c>
      <c r="T9" s="20">
        <v>3</v>
      </c>
      <c r="U9" s="20">
        <v>4</v>
      </c>
      <c r="V9" s="20">
        <v>2</v>
      </c>
      <c r="W9" s="20">
        <v>4</v>
      </c>
      <c r="X9" s="20">
        <v>5</v>
      </c>
      <c r="Y9" s="25">
        <f t="shared" si="2"/>
        <v>5</v>
      </c>
      <c r="Z9" s="25">
        <f t="shared" si="2"/>
        <v>0.33333333333333331</v>
      </c>
      <c r="AA9" s="26">
        <f t="shared" si="3"/>
        <v>1.3333333333333333</v>
      </c>
      <c r="AB9" s="27">
        <v>0.4</v>
      </c>
      <c r="AC9" s="28">
        <v>50</v>
      </c>
      <c r="AD9" s="28">
        <v>100</v>
      </c>
      <c r="AE9" s="29">
        <v>0.05</v>
      </c>
    </row>
    <row r="10" spans="1:31" ht="37.950000000000003" customHeight="1" x14ac:dyDescent="0.3">
      <c r="A10" s="6">
        <v>7</v>
      </c>
      <c r="B10" s="7" t="s">
        <v>80</v>
      </c>
      <c r="C10" s="7" t="s">
        <v>81</v>
      </c>
      <c r="D10" s="7">
        <v>2019</v>
      </c>
      <c r="E10" s="7">
        <v>2024</v>
      </c>
      <c r="F10" s="7" t="s">
        <v>82</v>
      </c>
      <c r="G10" s="7" t="s">
        <v>83</v>
      </c>
      <c r="H10" s="7" t="s">
        <v>84</v>
      </c>
      <c r="I10" s="7" t="s">
        <v>85</v>
      </c>
      <c r="J10" s="8">
        <v>13.5</v>
      </c>
      <c r="K10" s="9">
        <f t="shared" si="0"/>
        <v>2019</v>
      </c>
      <c r="L10" s="9">
        <f t="shared" si="0"/>
        <v>2024</v>
      </c>
      <c r="M10" s="9">
        <f t="shared" si="1"/>
        <v>5</v>
      </c>
      <c r="N10" s="10" t="s">
        <v>56</v>
      </c>
      <c r="O10" s="10" t="s">
        <v>78</v>
      </c>
      <c r="P10" s="10" t="s">
        <v>86</v>
      </c>
      <c r="Q10" s="11">
        <v>200</v>
      </c>
      <c r="R10" s="12">
        <v>50</v>
      </c>
      <c r="S10" s="8">
        <v>1</v>
      </c>
      <c r="T10" s="8">
        <v>2.5</v>
      </c>
      <c r="U10" s="8">
        <v>1.5</v>
      </c>
      <c r="V10" s="8">
        <v>6</v>
      </c>
      <c r="W10" s="8">
        <v>9</v>
      </c>
      <c r="X10" s="8">
        <v>4</v>
      </c>
      <c r="Y10" s="13">
        <f t="shared" si="2"/>
        <v>1.5</v>
      </c>
      <c r="Z10" s="13">
        <f t="shared" si="2"/>
        <v>-0.4</v>
      </c>
      <c r="AA10" s="14">
        <f t="shared" si="3"/>
        <v>3.6</v>
      </c>
      <c r="AB10" s="15">
        <v>0.7</v>
      </c>
      <c r="AC10" s="16">
        <v>90</v>
      </c>
      <c r="AD10" s="16">
        <v>100</v>
      </c>
      <c r="AE10" s="17">
        <v>0.3</v>
      </c>
    </row>
    <row r="11" spans="1:31" ht="37.950000000000003" customHeight="1" x14ac:dyDescent="0.3">
      <c r="A11" s="18">
        <v>8</v>
      </c>
      <c r="B11" s="19" t="s">
        <v>87</v>
      </c>
      <c r="C11" s="19" t="s">
        <v>88</v>
      </c>
      <c r="D11" s="19">
        <v>2023</v>
      </c>
      <c r="E11" s="19">
        <v>2024</v>
      </c>
      <c r="F11" s="19" t="s">
        <v>89</v>
      </c>
      <c r="G11" s="19" t="s">
        <v>90</v>
      </c>
      <c r="H11" s="19" t="s">
        <v>91</v>
      </c>
      <c r="I11" s="19" t="s">
        <v>92</v>
      </c>
      <c r="J11" s="20">
        <v>3</v>
      </c>
      <c r="K11" s="21">
        <f t="shared" si="0"/>
        <v>2023</v>
      </c>
      <c r="L11" s="21">
        <f t="shared" si="0"/>
        <v>2024</v>
      </c>
      <c r="M11" s="21">
        <f t="shared" si="1"/>
        <v>1</v>
      </c>
      <c r="N11" s="22" t="s">
        <v>38</v>
      </c>
      <c r="O11" s="22" t="s">
        <v>93</v>
      </c>
      <c r="P11" s="22" t="s">
        <v>79</v>
      </c>
      <c r="Q11" s="23">
        <v>15</v>
      </c>
      <c r="R11" s="24">
        <v>12</v>
      </c>
      <c r="S11" s="20">
        <v>0</v>
      </c>
      <c r="T11" s="20">
        <v>0.05</v>
      </c>
      <c r="U11" s="20">
        <v>0</v>
      </c>
      <c r="V11" s="20">
        <v>0.5</v>
      </c>
      <c r="W11" s="20">
        <v>1.5</v>
      </c>
      <c r="X11" s="20">
        <v>0</v>
      </c>
      <c r="Y11" s="25" t="str">
        <f t="shared" si="2"/>
        <v>n/a</v>
      </c>
      <c r="Z11" s="25">
        <f t="shared" si="2"/>
        <v>-1</v>
      </c>
      <c r="AA11" s="26">
        <f t="shared" si="3"/>
        <v>30</v>
      </c>
      <c r="AB11" s="27">
        <v>0.1</v>
      </c>
      <c r="AC11" s="28">
        <v>60</v>
      </c>
      <c r="AD11" s="28">
        <v>100</v>
      </c>
      <c r="AE11" s="29">
        <v>0.02</v>
      </c>
    </row>
    <row r="12" spans="1:31" ht="37.950000000000003" customHeight="1" x14ac:dyDescent="0.3">
      <c r="A12" s="6">
        <v>9</v>
      </c>
      <c r="B12" s="7" t="s">
        <v>94</v>
      </c>
      <c r="C12" s="7" t="s">
        <v>95</v>
      </c>
      <c r="D12" s="7">
        <v>2020</v>
      </c>
      <c r="E12" s="7">
        <v>2024</v>
      </c>
      <c r="F12" s="7" t="s">
        <v>96</v>
      </c>
      <c r="G12" s="7" t="s">
        <v>97</v>
      </c>
      <c r="H12" s="7" t="s">
        <v>98</v>
      </c>
      <c r="I12" s="7" t="s">
        <v>92</v>
      </c>
      <c r="J12" s="8">
        <v>3.5</v>
      </c>
      <c r="K12" s="9">
        <f t="shared" si="0"/>
        <v>2020</v>
      </c>
      <c r="L12" s="9">
        <f t="shared" si="0"/>
        <v>2024</v>
      </c>
      <c r="M12" s="9">
        <f t="shared" si="1"/>
        <v>4</v>
      </c>
      <c r="N12" s="10" t="s">
        <v>38</v>
      </c>
      <c r="O12" s="10" t="s">
        <v>78</v>
      </c>
      <c r="P12" s="10" t="s">
        <v>79</v>
      </c>
      <c r="Q12" s="11">
        <v>50</v>
      </c>
      <c r="R12" s="12">
        <v>15</v>
      </c>
      <c r="S12" s="8">
        <v>0.1</v>
      </c>
      <c r="T12" s="8">
        <v>0.3</v>
      </c>
      <c r="U12" s="8">
        <v>0</v>
      </c>
      <c r="V12" s="8">
        <v>0.8</v>
      </c>
      <c r="W12" s="8">
        <v>2</v>
      </c>
      <c r="X12" s="8">
        <v>0</v>
      </c>
      <c r="Y12" s="13">
        <f t="shared" si="2"/>
        <v>1.9999999999999998</v>
      </c>
      <c r="Z12" s="13">
        <f t="shared" si="2"/>
        <v>-1</v>
      </c>
      <c r="AA12" s="14">
        <f t="shared" si="3"/>
        <v>6.666666666666667</v>
      </c>
      <c r="AB12" s="15">
        <v>0.15</v>
      </c>
      <c r="AC12" s="16">
        <v>50</v>
      </c>
      <c r="AD12" s="16">
        <v>100</v>
      </c>
      <c r="AE12" s="17">
        <v>0.1</v>
      </c>
    </row>
    <row r="13" spans="1:31" ht="37.950000000000003" customHeight="1" x14ac:dyDescent="0.3">
      <c r="A13" s="18">
        <v>10</v>
      </c>
      <c r="B13" s="19" t="s">
        <v>99</v>
      </c>
      <c r="C13" s="19" t="s">
        <v>100</v>
      </c>
      <c r="D13" s="19">
        <v>2022</v>
      </c>
      <c r="E13" s="19">
        <v>2024</v>
      </c>
      <c r="F13" s="19" t="s">
        <v>101</v>
      </c>
      <c r="G13" s="19" t="s">
        <v>102</v>
      </c>
      <c r="H13" s="19" t="s">
        <v>103</v>
      </c>
      <c r="I13" s="19" t="s">
        <v>64</v>
      </c>
      <c r="J13" s="20">
        <v>2</v>
      </c>
      <c r="K13" s="21">
        <f t="shared" si="0"/>
        <v>2022</v>
      </c>
      <c r="L13" s="21">
        <f t="shared" si="0"/>
        <v>2024</v>
      </c>
      <c r="M13" s="21">
        <f t="shared" si="1"/>
        <v>2</v>
      </c>
      <c r="N13" s="22" t="s">
        <v>38</v>
      </c>
      <c r="O13" s="22" t="s">
        <v>93</v>
      </c>
      <c r="P13" s="22" t="s">
        <v>79</v>
      </c>
      <c r="Q13" s="23">
        <v>30</v>
      </c>
      <c r="R13" s="24">
        <v>10</v>
      </c>
      <c r="S13" s="20">
        <v>0.05</v>
      </c>
      <c r="T13" s="20">
        <v>0.1</v>
      </c>
      <c r="U13" s="20">
        <v>0</v>
      </c>
      <c r="V13" s="20">
        <v>0.5</v>
      </c>
      <c r="W13" s="20">
        <v>1</v>
      </c>
      <c r="X13" s="20">
        <v>0</v>
      </c>
      <c r="Y13" s="25">
        <f t="shared" si="2"/>
        <v>1</v>
      </c>
      <c r="Z13" s="25">
        <f t="shared" si="2"/>
        <v>-1</v>
      </c>
      <c r="AA13" s="26">
        <f t="shared" si="3"/>
        <v>10</v>
      </c>
      <c r="AB13" s="27">
        <v>0.08</v>
      </c>
      <c r="AC13" s="28">
        <v>70</v>
      </c>
      <c r="AD13" s="28">
        <v>100</v>
      </c>
      <c r="AE13" s="29">
        <v>0.05</v>
      </c>
    </row>
    <row r="14" spans="1:31" ht="37.950000000000003" customHeight="1" x14ac:dyDescent="0.3">
      <c r="A14" s="6">
        <v>11</v>
      </c>
      <c r="B14" s="7" t="s">
        <v>104</v>
      </c>
      <c r="C14" s="7" t="s">
        <v>105</v>
      </c>
      <c r="D14" s="7">
        <v>2023</v>
      </c>
      <c r="E14" s="7">
        <v>2024</v>
      </c>
      <c r="F14" s="7" t="s">
        <v>106</v>
      </c>
      <c r="G14" s="7" t="s">
        <v>107</v>
      </c>
      <c r="H14" s="7" t="s">
        <v>108</v>
      </c>
      <c r="I14" s="7" t="s">
        <v>64</v>
      </c>
      <c r="J14" s="8">
        <v>8.5000000000000006E-2</v>
      </c>
      <c r="K14" s="9">
        <f t="shared" si="0"/>
        <v>2023</v>
      </c>
      <c r="L14" s="9">
        <f t="shared" si="0"/>
        <v>2024</v>
      </c>
      <c r="M14" s="9">
        <f t="shared" si="1"/>
        <v>1</v>
      </c>
      <c r="N14" s="10" t="s">
        <v>38</v>
      </c>
      <c r="O14" s="10" t="s">
        <v>109</v>
      </c>
      <c r="P14" s="10" t="s">
        <v>40</v>
      </c>
      <c r="Q14" s="11">
        <v>8</v>
      </c>
      <c r="R14" s="12">
        <v>2</v>
      </c>
      <c r="S14" s="8">
        <v>0</v>
      </c>
      <c r="T14" s="8">
        <v>0.02</v>
      </c>
      <c r="U14" s="8">
        <v>0</v>
      </c>
      <c r="V14" s="8">
        <v>0.05</v>
      </c>
      <c r="W14" s="8">
        <v>0.1</v>
      </c>
      <c r="X14" s="8">
        <v>0</v>
      </c>
      <c r="Y14" s="13" t="str">
        <f t="shared" si="2"/>
        <v>n/a</v>
      </c>
      <c r="Z14" s="13">
        <f t="shared" si="2"/>
        <v>-1</v>
      </c>
      <c r="AA14" s="14">
        <f t="shared" si="3"/>
        <v>5</v>
      </c>
      <c r="AB14" s="15">
        <v>0.02</v>
      </c>
      <c r="AC14" s="16">
        <v>60</v>
      </c>
      <c r="AD14" s="16">
        <v>100</v>
      </c>
      <c r="AE14" s="17">
        <v>0.23</v>
      </c>
    </row>
    <row r="15" spans="1:31" ht="37.950000000000003" customHeight="1" x14ac:dyDescent="0.3">
      <c r="A15" s="18">
        <v>12</v>
      </c>
      <c r="B15" s="19" t="s">
        <v>110</v>
      </c>
      <c r="C15" s="19" t="s">
        <v>111</v>
      </c>
      <c r="D15" s="19">
        <v>2015</v>
      </c>
      <c r="E15" s="19">
        <v>2023</v>
      </c>
      <c r="F15" s="19" t="s">
        <v>112</v>
      </c>
      <c r="G15" s="19" t="s">
        <v>113</v>
      </c>
      <c r="H15" s="19" t="s">
        <v>114</v>
      </c>
      <c r="I15" s="19" t="s">
        <v>115</v>
      </c>
      <c r="J15" s="20">
        <v>130</v>
      </c>
      <c r="K15" s="21">
        <f t="shared" si="0"/>
        <v>2015</v>
      </c>
      <c r="L15" s="21">
        <f t="shared" si="0"/>
        <v>2023</v>
      </c>
      <c r="M15" s="21">
        <f t="shared" si="1"/>
        <v>8</v>
      </c>
      <c r="N15" s="22" t="s">
        <v>38</v>
      </c>
      <c r="O15" s="22" t="s">
        <v>116</v>
      </c>
      <c r="P15" s="22" t="s">
        <v>86</v>
      </c>
      <c r="Q15" s="23">
        <v>400</v>
      </c>
      <c r="R15" s="24">
        <v>450</v>
      </c>
      <c r="S15" s="20">
        <v>18</v>
      </c>
      <c r="T15" s="20">
        <v>16</v>
      </c>
      <c r="U15" s="20">
        <v>0</v>
      </c>
      <c r="V15" s="20">
        <v>50</v>
      </c>
      <c r="W15" s="20">
        <v>60</v>
      </c>
      <c r="X15" s="20">
        <v>0</v>
      </c>
      <c r="Y15" s="25">
        <f t="shared" si="2"/>
        <v>-0.1111111111111111</v>
      </c>
      <c r="Z15" s="25">
        <f t="shared" si="2"/>
        <v>-1</v>
      </c>
      <c r="AA15" s="26">
        <f t="shared" si="3"/>
        <v>3.75</v>
      </c>
      <c r="AB15" s="27">
        <v>4.5</v>
      </c>
      <c r="AC15" s="28">
        <v>90</v>
      </c>
      <c r="AD15" s="28">
        <v>95</v>
      </c>
      <c r="AE15" s="29">
        <v>17</v>
      </c>
    </row>
    <row r="16" spans="1:31" ht="37.950000000000003" customHeight="1" x14ac:dyDescent="0.3">
      <c r="A16" s="6">
        <v>13</v>
      </c>
      <c r="B16" s="7" t="s">
        <v>117</v>
      </c>
      <c r="C16" s="7" t="s">
        <v>118</v>
      </c>
      <c r="D16" s="7">
        <v>2020</v>
      </c>
      <c r="E16" s="7">
        <v>2023</v>
      </c>
      <c r="F16" s="7" t="s">
        <v>119</v>
      </c>
      <c r="G16" s="7" t="s">
        <v>120</v>
      </c>
      <c r="H16" s="7" t="s">
        <v>121</v>
      </c>
      <c r="I16" s="7" t="s">
        <v>115</v>
      </c>
      <c r="J16" s="8">
        <v>18</v>
      </c>
      <c r="K16" s="9">
        <f t="shared" si="0"/>
        <v>2020</v>
      </c>
      <c r="L16" s="9">
        <f t="shared" si="0"/>
        <v>2023</v>
      </c>
      <c r="M16" s="9">
        <f t="shared" si="1"/>
        <v>3</v>
      </c>
      <c r="N16" s="10" t="s">
        <v>38</v>
      </c>
      <c r="O16" s="10" t="s">
        <v>78</v>
      </c>
      <c r="P16" s="10" t="s">
        <v>79</v>
      </c>
      <c r="Q16" s="11">
        <v>200</v>
      </c>
      <c r="R16" s="12">
        <v>30</v>
      </c>
      <c r="S16" s="8">
        <v>1.5</v>
      </c>
      <c r="T16" s="8">
        <v>0.8</v>
      </c>
      <c r="U16" s="8">
        <v>0</v>
      </c>
      <c r="V16" s="8">
        <v>12</v>
      </c>
      <c r="W16" s="8">
        <v>8</v>
      </c>
      <c r="X16" s="8">
        <v>0</v>
      </c>
      <c r="Y16" s="13">
        <f t="shared" si="2"/>
        <v>-0.46666666666666662</v>
      </c>
      <c r="Z16" s="13">
        <f t="shared" si="2"/>
        <v>-1</v>
      </c>
      <c r="AA16" s="14">
        <f t="shared" si="3"/>
        <v>10</v>
      </c>
      <c r="AB16" s="15">
        <v>1</v>
      </c>
      <c r="AC16" s="16">
        <v>60</v>
      </c>
      <c r="AD16" s="16">
        <v>100</v>
      </c>
      <c r="AE16" s="17">
        <v>0.5</v>
      </c>
    </row>
    <row r="17" spans="1:31" ht="37.950000000000003" customHeight="1" x14ac:dyDescent="0.3">
      <c r="A17" s="18">
        <v>14</v>
      </c>
      <c r="B17" s="19" t="s">
        <v>122</v>
      </c>
      <c r="C17" s="19" t="s">
        <v>123</v>
      </c>
      <c r="D17" s="19">
        <v>2021</v>
      </c>
      <c r="E17" s="19">
        <v>2023</v>
      </c>
      <c r="F17" s="19" t="s">
        <v>124</v>
      </c>
      <c r="G17" s="19" t="s">
        <v>125</v>
      </c>
      <c r="H17" s="19" t="s">
        <v>126</v>
      </c>
      <c r="I17" s="19" t="s">
        <v>64</v>
      </c>
      <c r="J17" s="20">
        <v>21</v>
      </c>
      <c r="K17" s="21">
        <f t="shared" si="0"/>
        <v>2021</v>
      </c>
      <c r="L17" s="21">
        <f t="shared" si="0"/>
        <v>2023</v>
      </c>
      <c r="M17" s="21">
        <f t="shared" si="1"/>
        <v>2</v>
      </c>
      <c r="N17" s="22" t="s">
        <v>38</v>
      </c>
      <c r="O17" s="22" t="s">
        <v>78</v>
      </c>
      <c r="P17" s="22" t="s">
        <v>86</v>
      </c>
      <c r="Q17" s="23">
        <v>80</v>
      </c>
      <c r="R17" s="24">
        <v>75</v>
      </c>
      <c r="S17" s="20">
        <v>2</v>
      </c>
      <c r="T17" s="20">
        <v>1</v>
      </c>
      <c r="U17" s="20">
        <v>0</v>
      </c>
      <c r="V17" s="20">
        <v>8</v>
      </c>
      <c r="W17" s="20">
        <v>12</v>
      </c>
      <c r="X17" s="20">
        <v>0</v>
      </c>
      <c r="Y17" s="25">
        <f t="shared" si="2"/>
        <v>-0.5</v>
      </c>
      <c r="Z17" s="25">
        <f t="shared" si="2"/>
        <v>-1</v>
      </c>
      <c r="AA17" s="26">
        <f t="shared" si="3"/>
        <v>12</v>
      </c>
      <c r="AB17" s="27">
        <v>1.2</v>
      </c>
      <c r="AC17" s="28">
        <v>70</v>
      </c>
      <c r="AD17" s="28">
        <v>100</v>
      </c>
      <c r="AE17" s="29">
        <v>0.4</v>
      </c>
    </row>
    <row r="18" spans="1:31" ht="37.950000000000003" customHeight="1" x14ac:dyDescent="0.3">
      <c r="A18" s="6">
        <v>15</v>
      </c>
      <c r="B18" s="7" t="s">
        <v>127</v>
      </c>
      <c r="C18" s="7" t="s">
        <v>128</v>
      </c>
      <c r="D18" s="7">
        <v>2020</v>
      </c>
      <c r="E18" s="7">
        <v>2023</v>
      </c>
      <c r="F18" s="7" t="s">
        <v>129</v>
      </c>
      <c r="G18" s="7" t="s">
        <v>130</v>
      </c>
      <c r="H18" s="7" t="s">
        <v>131</v>
      </c>
      <c r="I18" s="7" t="s">
        <v>132</v>
      </c>
      <c r="J18" s="8">
        <v>6.2</v>
      </c>
      <c r="K18" s="9">
        <f t="shared" si="0"/>
        <v>2020</v>
      </c>
      <c r="L18" s="9">
        <f t="shared" si="0"/>
        <v>2023</v>
      </c>
      <c r="M18" s="9">
        <f t="shared" si="1"/>
        <v>3</v>
      </c>
      <c r="N18" s="10" t="s">
        <v>38</v>
      </c>
      <c r="O18" s="10" t="s">
        <v>93</v>
      </c>
      <c r="P18" s="10" t="s">
        <v>79</v>
      </c>
      <c r="Q18" s="11">
        <v>40</v>
      </c>
      <c r="R18" s="12">
        <v>25</v>
      </c>
      <c r="S18" s="8">
        <v>0.3</v>
      </c>
      <c r="T18" s="8">
        <v>0.5</v>
      </c>
      <c r="U18" s="8">
        <v>0</v>
      </c>
      <c r="V18" s="8">
        <v>2</v>
      </c>
      <c r="W18" s="8">
        <v>3</v>
      </c>
      <c r="X18" s="8">
        <v>0</v>
      </c>
      <c r="Y18" s="13">
        <f t="shared" si="2"/>
        <v>0.66666666666666674</v>
      </c>
      <c r="Z18" s="13">
        <f t="shared" si="2"/>
        <v>-1</v>
      </c>
      <c r="AA18" s="14">
        <f t="shared" si="3"/>
        <v>6</v>
      </c>
      <c r="AB18" s="15">
        <v>0.3</v>
      </c>
      <c r="AC18" s="16">
        <v>70</v>
      </c>
      <c r="AD18" s="16">
        <v>100</v>
      </c>
      <c r="AE18" s="17">
        <v>1.5</v>
      </c>
    </row>
    <row r="19" spans="1:31" ht="37.950000000000003" customHeight="1" x14ac:dyDescent="0.3">
      <c r="A19" s="18">
        <v>16</v>
      </c>
      <c r="B19" s="19" t="s">
        <v>133</v>
      </c>
      <c r="C19" s="19" t="s">
        <v>134</v>
      </c>
      <c r="D19" s="19">
        <v>2019</v>
      </c>
      <c r="E19" s="19">
        <v>2023</v>
      </c>
      <c r="F19" s="19" t="s">
        <v>135</v>
      </c>
      <c r="G19" s="19" t="s">
        <v>136</v>
      </c>
      <c r="H19" s="19" t="s">
        <v>137</v>
      </c>
      <c r="I19" s="19" t="s">
        <v>64</v>
      </c>
      <c r="J19" s="20">
        <v>1.5</v>
      </c>
      <c r="K19" s="21">
        <f t="shared" si="0"/>
        <v>2019</v>
      </c>
      <c r="L19" s="21">
        <f t="shared" si="0"/>
        <v>2023</v>
      </c>
      <c r="M19" s="21">
        <f t="shared" si="1"/>
        <v>4</v>
      </c>
      <c r="N19" s="22" t="s">
        <v>47</v>
      </c>
      <c r="O19" s="22" t="s">
        <v>93</v>
      </c>
      <c r="P19" s="22" t="s">
        <v>40</v>
      </c>
      <c r="Q19" s="23">
        <v>25</v>
      </c>
      <c r="R19" s="24">
        <v>10</v>
      </c>
      <c r="S19" s="20">
        <v>0.3</v>
      </c>
      <c r="T19" s="20">
        <v>0.2</v>
      </c>
      <c r="U19" s="20">
        <v>0</v>
      </c>
      <c r="V19" s="20">
        <v>1</v>
      </c>
      <c r="W19" s="20">
        <v>1.5</v>
      </c>
      <c r="X19" s="20">
        <v>0</v>
      </c>
      <c r="Y19" s="25">
        <f t="shared" si="2"/>
        <v>-0.33333333333333326</v>
      </c>
      <c r="Z19" s="25">
        <f t="shared" si="2"/>
        <v>-1</v>
      </c>
      <c r="AA19" s="26">
        <f t="shared" si="3"/>
        <v>7.5</v>
      </c>
      <c r="AB19" s="27">
        <v>0.15</v>
      </c>
      <c r="AC19" s="28">
        <v>80</v>
      </c>
      <c r="AD19" s="28">
        <v>100</v>
      </c>
      <c r="AE19" s="29">
        <v>0.1</v>
      </c>
    </row>
    <row r="20" spans="1:31" ht="37.950000000000003" customHeight="1" x14ac:dyDescent="0.3">
      <c r="A20" s="6">
        <v>17</v>
      </c>
      <c r="B20" s="7" t="s">
        <v>138</v>
      </c>
      <c r="C20" s="7" t="s">
        <v>139</v>
      </c>
      <c r="D20" s="7">
        <v>2020</v>
      </c>
      <c r="E20" s="7">
        <v>2023</v>
      </c>
      <c r="F20" s="7" t="s">
        <v>140</v>
      </c>
      <c r="G20" s="7" t="s">
        <v>141</v>
      </c>
      <c r="H20" s="7" t="s">
        <v>142</v>
      </c>
      <c r="I20" s="7" t="s">
        <v>132</v>
      </c>
      <c r="J20" s="8">
        <v>0.215</v>
      </c>
      <c r="K20" s="9">
        <f t="shared" si="0"/>
        <v>2020</v>
      </c>
      <c r="L20" s="9">
        <f t="shared" si="0"/>
        <v>2023</v>
      </c>
      <c r="M20" s="9">
        <f t="shared" si="1"/>
        <v>3</v>
      </c>
      <c r="N20" s="10" t="s">
        <v>56</v>
      </c>
      <c r="O20" s="10" t="s">
        <v>109</v>
      </c>
      <c r="P20" s="10" t="s">
        <v>79</v>
      </c>
      <c r="Q20" s="11">
        <v>10</v>
      </c>
      <c r="R20" s="12">
        <v>3</v>
      </c>
      <c r="S20" s="8">
        <v>0.01</v>
      </c>
      <c r="T20" s="8">
        <v>0.02</v>
      </c>
      <c r="U20" s="8">
        <v>0</v>
      </c>
      <c r="V20" s="8">
        <v>0.1</v>
      </c>
      <c r="W20" s="8">
        <v>0.2</v>
      </c>
      <c r="X20" s="8">
        <v>0</v>
      </c>
      <c r="Y20" s="13">
        <f t="shared" si="2"/>
        <v>1</v>
      </c>
      <c r="Z20" s="13">
        <f t="shared" si="2"/>
        <v>-1</v>
      </c>
      <c r="AA20" s="14">
        <f t="shared" si="3"/>
        <v>10</v>
      </c>
      <c r="AB20" s="15">
        <v>0.03</v>
      </c>
      <c r="AC20" s="16">
        <v>50</v>
      </c>
      <c r="AD20" s="16">
        <v>100</v>
      </c>
      <c r="AE20" s="17">
        <v>0.5</v>
      </c>
    </row>
    <row r="21" spans="1:31" ht="37.950000000000003" customHeight="1" x14ac:dyDescent="0.3">
      <c r="A21" s="18">
        <v>18</v>
      </c>
      <c r="B21" s="19" t="s">
        <v>143</v>
      </c>
      <c r="C21" s="19" t="s">
        <v>144</v>
      </c>
      <c r="D21" s="19">
        <v>2018</v>
      </c>
      <c r="E21" s="19">
        <v>2023</v>
      </c>
      <c r="F21" s="19" t="s">
        <v>89</v>
      </c>
      <c r="G21" s="19" t="s">
        <v>145</v>
      </c>
      <c r="H21" s="19" t="s">
        <v>146</v>
      </c>
      <c r="I21" s="19" t="s">
        <v>132</v>
      </c>
      <c r="J21" s="20">
        <v>3</v>
      </c>
      <c r="K21" s="21">
        <f t="shared" si="0"/>
        <v>2018</v>
      </c>
      <c r="L21" s="21">
        <f t="shared" si="0"/>
        <v>2023</v>
      </c>
      <c r="M21" s="21">
        <f t="shared" si="1"/>
        <v>5</v>
      </c>
      <c r="N21" s="22" t="s">
        <v>38</v>
      </c>
      <c r="O21" s="22" t="s">
        <v>93</v>
      </c>
      <c r="P21" s="22" t="s">
        <v>40</v>
      </c>
      <c r="Q21" s="23">
        <v>50</v>
      </c>
      <c r="R21" s="24">
        <v>15</v>
      </c>
      <c r="S21" s="20">
        <v>0.5</v>
      </c>
      <c r="T21" s="20">
        <v>0.8</v>
      </c>
      <c r="U21" s="20">
        <v>0</v>
      </c>
      <c r="V21" s="20">
        <v>2</v>
      </c>
      <c r="W21" s="20">
        <v>3</v>
      </c>
      <c r="X21" s="20">
        <v>0</v>
      </c>
      <c r="Y21" s="25">
        <f t="shared" si="2"/>
        <v>0.60000000000000009</v>
      </c>
      <c r="Z21" s="25">
        <f t="shared" si="2"/>
        <v>-1</v>
      </c>
      <c r="AA21" s="26">
        <f t="shared" si="3"/>
        <v>3.75</v>
      </c>
      <c r="AB21" s="27">
        <v>0.3</v>
      </c>
      <c r="AC21" s="28">
        <v>65</v>
      </c>
      <c r="AD21" s="28">
        <v>100</v>
      </c>
      <c r="AE21" s="29">
        <v>0.1</v>
      </c>
    </row>
    <row r="22" spans="1:31" ht="37.950000000000003" customHeight="1" x14ac:dyDescent="0.3">
      <c r="A22" s="6">
        <v>19</v>
      </c>
      <c r="B22" s="7" t="s">
        <v>147</v>
      </c>
      <c r="C22" s="7" t="s">
        <v>148</v>
      </c>
      <c r="D22" s="7">
        <v>2020</v>
      </c>
      <c r="E22" s="7">
        <v>2023</v>
      </c>
      <c r="F22" s="7" t="s">
        <v>135</v>
      </c>
      <c r="G22" s="7" t="s">
        <v>149</v>
      </c>
      <c r="H22" s="7" t="s">
        <v>150</v>
      </c>
      <c r="I22" s="7" t="s">
        <v>151</v>
      </c>
      <c r="J22" s="8">
        <v>0.3</v>
      </c>
      <c r="K22" s="9">
        <f t="shared" si="0"/>
        <v>2020</v>
      </c>
      <c r="L22" s="9">
        <f t="shared" si="0"/>
        <v>2023</v>
      </c>
      <c r="M22" s="9">
        <f t="shared" si="1"/>
        <v>3</v>
      </c>
      <c r="N22" s="10" t="s">
        <v>38</v>
      </c>
      <c r="O22" s="10" t="s">
        <v>109</v>
      </c>
      <c r="P22" s="10" t="s">
        <v>40</v>
      </c>
      <c r="Q22" s="11">
        <v>30</v>
      </c>
      <c r="R22" s="12">
        <v>3</v>
      </c>
      <c r="S22" s="8">
        <v>0.1</v>
      </c>
      <c r="T22" s="8">
        <v>0.05</v>
      </c>
      <c r="U22" s="8">
        <v>0</v>
      </c>
      <c r="V22" s="8">
        <v>0.3</v>
      </c>
      <c r="W22" s="8">
        <v>0.4</v>
      </c>
      <c r="X22" s="8">
        <v>0</v>
      </c>
      <c r="Y22" s="13">
        <f t="shared" si="2"/>
        <v>-0.5</v>
      </c>
      <c r="Z22" s="13">
        <f t="shared" si="2"/>
        <v>-1</v>
      </c>
      <c r="AA22" s="14">
        <f t="shared" si="3"/>
        <v>8</v>
      </c>
      <c r="AB22" s="15">
        <v>0.04</v>
      </c>
      <c r="AC22" s="16">
        <v>60</v>
      </c>
      <c r="AD22" s="16">
        <v>100</v>
      </c>
      <c r="AE22" s="17">
        <v>0.05</v>
      </c>
    </row>
    <row r="23" spans="1:31" ht="37.950000000000003" customHeight="1" x14ac:dyDescent="0.3">
      <c r="A23" s="18">
        <v>20</v>
      </c>
      <c r="B23" s="19" t="s">
        <v>152</v>
      </c>
      <c r="C23" s="19" t="s">
        <v>153</v>
      </c>
      <c r="D23" s="19">
        <v>2019</v>
      </c>
      <c r="E23" s="19">
        <v>2023</v>
      </c>
      <c r="F23" s="19" t="s">
        <v>154</v>
      </c>
      <c r="G23" s="19" t="s">
        <v>155</v>
      </c>
      <c r="H23" s="19" t="s">
        <v>156</v>
      </c>
      <c r="I23" s="19" t="s">
        <v>115</v>
      </c>
      <c r="J23" s="20">
        <v>0.5</v>
      </c>
      <c r="K23" s="21">
        <f t="shared" si="0"/>
        <v>2019</v>
      </c>
      <c r="L23" s="21">
        <f t="shared" si="0"/>
        <v>2023</v>
      </c>
      <c r="M23" s="21">
        <f t="shared" si="1"/>
        <v>4</v>
      </c>
      <c r="N23" s="22" t="s">
        <v>56</v>
      </c>
      <c r="O23" s="22" t="s">
        <v>109</v>
      </c>
      <c r="P23" s="22" t="s">
        <v>40</v>
      </c>
      <c r="Q23" s="23">
        <v>20</v>
      </c>
      <c r="R23" s="24">
        <v>3</v>
      </c>
      <c r="S23" s="20">
        <v>0.1</v>
      </c>
      <c r="T23" s="20">
        <v>0.05</v>
      </c>
      <c r="U23" s="20">
        <v>0</v>
      </c>
      <c r="V23" s="20">
        <v>0.2</v>
      </c>
      <c r="W23" s="20">
        <v>0.3</v>
      </c>
      <c r="X23" s="20">
        <v>0</v>
      </c>
      <c r="Y23" s="25">
        <f t="shared" si="2"/>
        <v>-0.5</v>
      </c>
      <c r="Z23" s="25">
        <f t="shared" si="2"/>
        <v>-1</v>
      </c>
      <c r="AA23" s="26">
        <f t="shared" si="3"/>
        <v>5.9999999999999991</v>
      </c>
      <c r="AB23" s="27">
        <v>0.03</v>
      </c>
      <c r="AC23" s="28">
        <v>60</v>
      </c>
      <c r="AD23" s="28">
        <v>100</v>
      </c>
      <c r="AE23" s="29">
        <v>0.02</v>
      </c>
    </row>
    <row r="24" spans="1:31" ht="37.950000000000003" customHeight="1" x14ac:dyDescent="0.3">
      <c r="A24" s="6">
        <v>21</v>
      </c>
      <c r="B24" s="7" t="s">
        <v>157</v>
      </c>
      <c r="C24" s="7" t="s">
        <v>158</v>
      </c>
      <c r="D24" s="7">
        <v>2020</v>
      </c>
      <c r="E24" s="7">
        <v>2023</v>
      </c>
      <c r="F24" s="7" t="s">
        <v>159</v>
      </c>
      <c r="G24" s="7" t="s">
        <v>160</v>
      </c>
      <c r="H24" s="7" t="s">
        <v>161</v>
      </c>
      <c r="I24" s="7" t="s">
        <v>151</v>
      </c>
      <c r="J24" s="8">
        <v>5</v>
      </c>
      <c r="K24" s="9">
        <f t="shared" si="0"/>
        <v>2020</v>
      </c>
      <c r="L24" s="9">
        <f t="shared" si="0"/>
        <v>2023</v>
      </c>
      <c r="M24" s="9">
        <f t="shared" si="1"/>
        <v>3</v>
      </c>
      <c r="N24" s="10" t="s">
        <v>38</v>
      </c>
      <c r="O24" s="10" t="s">
        <v>93</v>
      </c>
      <c r="P24" s="10" t="s">
        <v>79</v>
      </c>
      <c r="Q24" s="11">
        <v>40</v>
      </c>
      <c r="R24" s="12">
        <v>25</v>
      </c>
      <c r="S24" s="8">
        <v>1</v>
      </c>
      <c r="T24" s="8">
        <v>0.5</v>
      </c>
      <c r="U24" s="8">
        <v>0</v>
      </c>
      <c r="V24" s="8">
        <v>4</v>
      </c>
      <c r="W24" s="8">
        <v>6</v>
      </c>
      <c r="X24" s="8">
        <v>0</v>
      </c>
      <c r="Y24" s="13">
        <f t="shared" si="2"/>
        <v>-0.5</v>
      </c>
      <c r="Z24" s="13">
        <f t="shared" si="2"/>
        <v>-1</v>
      </c>
      <c r="AA24" s="14">
        <f t="shared" si="3"/>
        <v>12</v>
      </c>
      <c r="AB24" s="15">
        <v>0.6</v>
      </c>
      <c r="AC24" s="16">
        <v>70</v>
      </c>
      <c r="AD24" s="16">
        <v>100</v>
      </c>
      <c r="AE24" s="17">
        <v>0.2</v>
      </c>
    </row>
    <row r="25" spans="1:31" ht="37.950000000000003" customHeight="1" x14ac:dyDescent="0.3">
      <c r="A25" s="18">
        <v>22</v>
      </c>
      <c r="B25" s="19" t="s">
        <v>162</v>
      </c>
      <c r="C25" s="19" t="s">
        <v>163</v>
      </c>
      <c r="D25" s="19">
        <v>2016</v>
      </c>
      <c r="E25" s="19">
        <v>2023</v>
      </c>
      <c r="F25" s="19" t="s">
        <v>164</v>
      </c>
      <c r="G25" s="19" t="s">
        <v>165</v>
      </c>
      <c r="H25" s="19" t="s">
        <v>166</v>
      </c>
      <c r="I25" s="19" t="s">
        <v>64</v>
      </c>
      <c r="J25" s="20">
        <v>3</v>
      </c>
      <c r="K25" s="21">
        <f t="shared" si="0"/>
        <v>2016</v>
      </c>
      <c r="L25" s="21">
        <f t="shared" si="0"/>
        <v>2023</v>
      </c>
      <c r="M25" s="21">
        <f t="shared" si="1"/>
        <v>7</v>
      </c>
      <c r="N25" s="22" t="s">
        <v>167</v>
      </c>
      <c r="O25" s="22" t="s">
        <v>78</v>
      </c>
      <c r="P25" s="22" t="s">
        <v>40</v>
      </c>
      <c r="Q25" s="23">
        <v>300</v>
      </c>
      <c r="R25" s="24">
        <v>15</v>
      </c>
      <c r="S25" s="20">
        <v>8</v>
      </c>
      <c r="T25" s="20">
        <v>4</v>
      </c>
      <c r="U25" s="20">
        <v>0</v>
      </c>
      <c r="V25" s="20">
        <v>5</v>
      </c>
      <c r="W25" s="20">
        <v>8</v>
      </c>
      <c r="X25" s="20">
        <v>0</v>
      </c>
      <c r="Y25" s="25">
        <f t="shared" si="2"/>
        <v>-0.5</v>
      </c>
      <c r="Z25" s="25">
        <f t="shared" si="2"/>
        <v>-1</v>
      </c>
      <c r="AA25" s="26">
        <f t="shared" si="3"/>
        <v>2</v>
      </c>
      <c r="AB25" s="27">
        <v>1</v>
      </c>
      <c r="AC25" s="28">
        <v>90</v>
      </c>
      <c r="AD25" s="28">
        <v>100</v>
      </c>
      <c r="AE25" s="29">
        <v>0.5</v>
      </c>
    </row>
    <row r="26" spans="1:31" ht="37.950000000000003" customHeight="1" x14ac:dyDescent="0.3">
      <c r="A26" s="6">
        <v>23</v>
      </c>
      <c r="B26" s="7" t="s">
        <v>168</v>
      </c>
      <c r="C26" s="7" t="s">
        <v>169</v>
      </c>
      <c r="D26" s="7">
        <v>2022</v>
      </c>
      <c r="E26" s="7">
        <v>2023</v>
      </c>
      <c r="F26" s="7" t="s">
        <v>135</v>
      </c>
      <c r="G26" s="7" t="s">
        <v>149</v>
      </c>
      <c r="H26" s="7" t="s">
        <v>170</v>
      </c>
      <c r="I26" s="7" t="s">
        <v>64</v>
      </c>
      <c r="J26" s="8">
        <v>0.5</v>
      </c>
      <c r="K26" s="9">
        <f t="shared" si="0"/>
        <v>2022</v>
      </c>
      <c r="L26" s="9">
        <f t="shared" si="0"/>
        <v>2023</v>
      </c>
      <c r="M26" s="9">
        <f t="shared" si="1"/>
        <v>1</v>
      </c>
      <c r="N26" s="10" t="s">
        <v>47</v>
      </c>
      <c r="O26" s="10" t="s">
        <v>93</v>
      </c>
      <c r="P26" s="10" t="s">
        <v>86</v>
      </c>
      <c r="Q26" s="11">
        <v>25</v>
      </c>
      <c r="R26" s="12">
        <v>5</v>
      </c>
      <c r="S26" s="8">
        <v>0.05</v>
      </c>
      <c r="T26" s="8">
        <v>0.02</v>
      </c>
      <c r="U26" s="8">
        <v>0</v>
      </c>
      <c r="V26" s="8">
        <v>0.3</v>
      </c>
      <c r="W26" s="8">
        <v>0.4</v>
      </c>
      <c r="X26" s="8">
        <v>0</v>
      </c>
      <c r="Y26" s="13">
        <f t="shared" si="2"/>
        <v>-0.6</v>
      </c>
      <c r="Z26" s="13">
        <f t="shared" si="2"/>
        <v>-1</v>
      </c>
      <c r="AA26" s="14">
        <f t="shared" si="3"/>
        <v>20</v>
      </c>
      <c r="AB26" s="15">
        <v>0.04</v>
      </c>
      <c r="AC26" s="16">
        <v>60</v>
      </c>
      <c r="AD26" s="16">
        <v>100</v>
      </c>
      <c r="AE26" s="17">
        <v>0.5</v>
      </c>
    </row>
    <row r="27" spans="1:31" ht="37.950000000000003" customHeight="1" x14ac:dyDescent="0.3">
      <c r="A27" s="18">
        <v>24</v>
      </c>
      <c r="B27" s="19" t="s">
        <v>171</v>
      </c>
      <c r="C27" s="19" t="s">
        <v>172</v>
      </c>
      <c r="D27" s="19">
        <v>2021</v>
      </c>
      <c r="E27" s="19">
        <v>2023</v>
      </c>
      <c r="F27" s="19" t="s">
        <v>173</v>
      </c>
      <c r="G27" s="19" t="s">
        <v>149</v>
      </c>
      <c r="H27" s="19" t="s">
        <v>174</v>
      </c>
      <c r="I27" s="19" t="s">
        <v>64</v>
      </c>
      <c r="J27" s="20">
        <v>0.5</v>
      </c>
      <c r="K27" s="21">
        <f t="shared" si="0"/>
        <v>2021</v>
      </c>
      <c r="L27" s="21">
        <f t="shared" si="0"/>
        <v>2023</v>
      </c>
      <c r="M27" s="21">
        <f t="shared" si="1"/>
        <v>2</v>
      </c>
      <c r="N27" s="22" t="s">
        <v>38</v>
      </c>
      <c r="O27" s="22" t="s">
        <v>93</v>
      </c>
      <c r="P27" s="22" t="s">
        <v>86</v>
      </c>
      <c r="Q27" s="23">
        <v>30</v>
      </c>
      <c r="R27" s="24">
        <v>3</v>
      </c>
      <c r="S27" s="20">
        <v>0.02</v>
      </c>
      <c r="T27" s="20">
        <v>0.01</v>
      </c>
      <c r="U27" s="20">
        <v>0</v>
      </c>
      <c r="V27" s="20">
        <v>0.2</v>
      </c>
      <c r="W27" s="20">
        <v>0.3</v>
      </c>
      <c r="X27" s="20">
        <v>0</v>
      </c>
      <c r="Y27" s="25">
        <f t="shared" si="2"/>
        <v>-0.5</v>
      </c>
      <c r="Z27" s="25">
        <f t="shared" si="2"/>
        <v>-1</v>
      </c>
      <c r="AA27" s="26">
        <f t="shared" si="3"/>
        <v>30</v>
      </c>
      <c r="AB27" s="27">
        <v>0.03</v>
      </c>
      <c r="AC27" s="28">
        <v>60</v>
      </c>
      <c r="AD27" s="28">
        <v>100</v>
      </c>
      <c r="AE27" s="29">
        <v>0.1</v>
      </c>
    </row>
    <row r="28" spans="1:31" ht="37.950000000000003" customHeight="1" x14ac:dyDescent="0.3">
      <c r="A28" s="6">
        <v>25</v>
      </c>
      <c r="B28" s="7" t="s">
        <v>175</v>
      </c>
      <c r="C28" s="7" t="s">
        <v>176</v>
      </c>
      <c r="D28" s="7">
        <v>2020</v>
      </c>
      <c r="E28" s="7">
        <v>2023</v>
      </c>
      <c r="F28" s="7" t="s">
        <v>177</v>
      </c>
      <c r="G28" s="7" t="s">
        <v>178</v>
      </c>
      <c r="H28" s="7" t="s">
        <v>179</v>
      </c>
      <c r="I28" s="7" t="s">
        <v>151</v>
      </c>
      <c r="J28" s="8">
        <v>4.5999999999999996</v>
      </c>
      <c r="K28" s="9">
        <f t="shared" si="0"/>
        <v>2020</v>
      </c>
      <c r="L28" s="9">
        <f t="shared" si="0"/>
        <v>2023</v>
      </c>
      <c r="M28" s="9">
        <f t="shared" si="1"/>
        <v>3</v>
      </c>
      <c r="N28" s="10" t="s">
        <v>38</v>
      </c>
      <c r="O28" s="10" t="s">
        <v>93</v>
      </c>
      <c r="P28" s="10" t="s">
        <v>86</v>
      </c>
      <c r="Q28" s="11">
        <v>50</v>
      </c>
      <c r="R28" s="12">
        <v>25</v>
      </c>
      <c r="S28" s="8">
        <v>0.5</v>
      </c>
      <c r="T28" s="8">
        <v>0.2</v>
      </c>
      <c r="U28" s="8">
        <v>0</v>
      </c>
      <c r="V28" s="8">
        <v>2</v>
      </c>
      <c r="W28" s="8">
        <v>3</v>
      </c>
      <c r="X28" s="8">
        <v>0</v>
      </c>
      <c r="Y28" s="13">
        <f t="shared" si="2"/>
        <v>-0.6</v>
      </c>
      <c r="Z28" s="13">
        <f t="shared" si="2"/>
        <v>-1</v>
      </c>
      <c r="AA28" s="14">
        <f t="shared" si="3"/>
        <v>15</v>
      </c>
      <c r="AB28" s="15">
        <v>0.25</v>
      </c>
      <c r="AC28" s="16">
        <v>70</v>
      </c>
      <c r="AD28" s="16">
        <v>100</v>
      </c>
      <c r="AE28" s="17">
        <v>0.5</v>
      </c>
    </row>
    <row r="29" spans="1:31" ht="37.950000000000003" customHeight="1" x14ac:dyDescent="0.3">
      <c r="A29" s="18">
        <v>26</v>
      </c>
      <c r="B29" s="19" t="s">
        <v>180</v>
      </c>
      <c r="C29" s="19" t="s">
        <v>148</v>
      </c>
      <c r="D29" s="19">
        <v>2019</v>
      </c>
      <c r="E29" s="19">
        <v>2022</v>
      </c>
      <c r="F29" s="19" t="s">
        <v>181</v>
      </c>
      <c r="G29" s="19" t="s">
        <v>182</v>
      </c>
      <c r="H29" s="19" t="s">
        <v>183</v>
      </c>
      <c r="I29" s="19" t="s">
        <v>184</v>
      </c>
      <c r="J29" s="20">
        <v>23.5</v>
      </c>
      <c r="K29" s="21">
        <f t="shared" si="0"/>
        <v>2019</v>
      </c>
      <c r="L29" s="21">
        <f t="shared" si="0"/>
        <v>2022</v>
      </c>
      <c r="M29" s="21">
        <f t="shared" si="1"/>
        <v>3</v>
      </c>
      <c r="N29" s="22" t="s">
        <v>56</v>
      </c>
      <c r="O29" s="22" t="s">
        <v>48</v>
      </c>
      <c r="P29" s="22" t="s">
        <v>40</v>
      </c>
      <c r="Q29" s="23">
        <v>1300</v>
      </c>
      <c r="R29" s="24">
        <v>100</v>
      </c>
      <c r="S29" s="20">
        <v>1.5</v>
      </c>
      <c r="T29" s="20">
        <v>0</v>
      </c>
      <c r="U29" s="20">
        <v>0</v>
      </c>
      <c r="V29" s="20">
        <v>8</v>
      </c>
      <c r="W29" s="20">
        <v>0</v>
      </c>
      <c r="X29" s="20">
        <v>0</v>
      </c>
      <c r="Y29" s="25">
        <f t="shared" si="2"/>
        <v>-1</v>
      </c>
      <c r="Z29" s="25" t="str">
        <f t="shared" si="2"/>
        <v>n/a</v>
      </c>
      <c r="AA29" s="26" t="str">
        <f t="shared" si="3"/>
        <v>n/a</v>
      </c>
      <c r="AB29" s="27">
        <v>0.7</v>
      </c>
      <c r="AC29" s="28">
        <v>95</v>
      </c>
      <c r="AD29" s="28">
        <v>100</v>
      </c>
      <c r="AE29" s="29">
        <v>0.4</v>
      </c>
    </row>
    <row r="30" spans="1:31" ht="37.950000000000003" customHeight="1" x14ac:dyDescent="0.3">
      <c r="A30" s="6">
        <v>27</v>
      </c>
      <c r="B30" s="7" t="s">
        <v>185</v>
      </c>
      <c r="C30" s="7" t="s">
        <v>186</v>
      </c>
      <c r="D30" s="7">
        <v>2020</v>
      </c>
      <c r="E30" s="7">
        <v>2022</v>
      </c>
      <c r="F30" s="7" t="s">
        <v>187</v>
      </c>
      <c r="G30" s="7" t="s">
        <v>188</v>
      </c>
      <c r="H30" s="7" t="s">
        <v>189</v>
      </c>
      <c r="I30" s="7" t="s">
        <v>64</v>
      </c>
      <c r="J30" s="8">
        <v>9</v>
      </c>
      <c r="K30" s="9">
        <f t="shared" si="0"/>
        <v>2020</v>
      </c>
      <c r="L30" s="9">
        <f t="shared" si="0"/>
        <v>2022</v>
      </c>
      <c r="M30" s="9">
        <f t="shared" si="1"/>
        <v>2</v>
      </c>
      <c r="N30" s="10" t="s">
        <v>38</v>
      </c>
      <c r="O30" s="10" t="s">
        <v>93</v>
      </c>
      <c r="P30" s="10" t="s">
        <v>79</v>
      </c>
      <c r="Q30" s="11">
        <v>60</v>
      </c>
      <c r="R30" s="12">
        <v>50</v>
      </c>
      <c r="S30" s="8">
        <v>0</v>
      </c>
      <c r="T30" s="8">
        <v>0</v>
      </c>
      <c r="U30" s="8">
        <v>0</v>
      </c>
      <c r="V30" s="8">
        <v>4</v>
      </c>
      <c r="W30" s="8">
        <v>0</v>
      </c>
      <c r="X30" s="8">
        <v>0</v>
      </c>
      <c r="Y30" s="13" t="str">
        <f t="shared" si="2"/>
        <v>n/a</v>
      </c>
      <c r="Z30" s="13" t="str">
        <f t="shared" si="2"/>
        <v>n/a</v>
      </c>
      <c r="AA30" s="14" t="str">
        <f t="shared" si="3"/>
        <v>n/a</v>
      </c>
      <c r="AB30" s="15">
        <v>0.4</v>
      </c>
      <c r="AC30" s="16">
        <v>80</v>
      </c>
      <c r="AD30" s="16">
        <v>100</v>
      </c>
      <c r="AE30" s="17">
        <v>0.05</v>
      </c>
    </row>
    <row r="31" spans="1:31" ht="37.950000000000003" customHeight="1" x14ac:dyDescent="0.3">
      <c r="A31" s="18">
        <v>28</v>
      </c>
      <c r="B31" s="19" t="s">
        <v>190</v>
      </c>
      <c r="C31" s="19" t="s">
        <v>191</v>
      </c>
      <c r="D31" s="19">
        <v>2019</v>
      </c>
      <c r="E31" s="19">
        <v>2022</v>
      </c>
      <c r="F31" s="19" t="s">
        <v>192</v>
      </c>
      <c r="G31" s="19" t="s">
        <v>193</v>
      </c>
      <c r="H31" s="19" t="s">
        <v>194</v>
      </c>
      <c r="I31" s="19" t="s">
        <v>64</v>
      </c>
      <c r="J31" s="20">
        <v>2.5</v>
      </c>
      <c r="K31" s="21">
        <f t="shared" si="0"/>
        <v>2019</v>
      </c>
      <c r="L31" s="21">
        <f t="shared" si="0"/>
        <v>2022</v>
      </c>
      <c r="M31" s="21">
        <f t="shared" si="1"/>
        <v>3</v>
      </c>
      <c r="N31" s="22" t="s">
        <v>47</v>
      </c>
      <c r="O31" s="22" t="s">
        <v>93</v>
      </c>
      <c r="P31" s="22" t="s">
        <v>195</v>
      </c>
      <c r="Q31" s="23">
        <v>50</v>
      </c>
      <c r="R31" s="24">
        <v>12</v>
      </c>
      <c r="S31" s="20">
        <v>0.2</v>
      </c>
      <c r="T31" s="20">
        <v>0</v>
      </c>
      <c r="U31" s="20">
        <v>0</v>
      </c>
      <c r="V31" s="20">
        <v>1</v>
      </c>
      <c r="W31" s="20">
        <v>0</v>
      </c>
      <c r="X31" s="20">
        <v>0</v>
      </c>
      <c r="Y31" s="25">
        <f t="shared" si="2"/>
        <v>-1</v>
      </c>
      <c r="Z31" s="25" t="str">
        <f t="shared" si="2"/>
        <v>n/a</v>
      </c>
      <c r="AA31" s="26" t="str">
        <f t="shared" si="3"/>
        <v>n/a</v>
      </c>
      <c r="AB31" s="27">
        <v>0.15</v>
      </c>
      <c r="AC31" s="28">
        <v>60</v>
      </c>
      <c r="AD31" s="28">
        <v>100</v>
      </c>
      <c r="AE31" s="29">
        <v>0.2</v>
      </c>
    </row>
    <row r="32" spans="1:31" ht="37.950000000000003" customHeight="1" x14ac:dyDescent="0.3">
      <c r="A32" s="6">
        <v>29</v>
      </c>
      <c r="B32" s="7" t="s">
        <v>196</v>
      </c>
      <c r="C32" s="7" t="s">
        <v>191</v>
      </c>
      <c r="D32" s="7">
        <v>2020</v>
      </c>
      <c r="E32" s="7">
        <v>2022</v>
      </c>
      <c r="F32" s="7" t="s">
        <v>135</v>
      </c>
      <c r="G32" s="7" t="s">
        <v>149</v>
      </c>
      <c r="H32" s="7" t="s">
        <v>197</v>
      </c>
      <c r="I32" s="7" t="s">
        <v>64</v>
      </c>
      <c r="J32" s="8">
        <v>0.33</v>
      </c>
      <c r="K32" s="9">
        <f t="shared" si="0"/>
        <v>2020</v>
      </c>
      <c r="L32" s="9">
        <f t="shared" si="0"/>
        <v>2022</v>
      </c>
      <c r="M32" s="9">
        <f t="shared" si="1"/>
        <v>2</v>
      </c>
      <c r="N32" s="10" t="s">
        <v>38</v>
      </c>
      <c r="O32" s="10" t="s">
        <v>93</v>
      </c>
      <c r="P32" s="10" t="s">
        <v>40</v>
      </c>
      <c r="Q32" s="11">
        <v>25</v>
      </c>
      <c r="R32" s="12">
        <v>3</v>
      </c>
      <c r="S32" s="8">
        <v>0.05</v>
      </c>
      <c r="T32" s="8">
        <v>0</v>
      </c>
      <c r="U32" s="8">
        <v>0</v>
      </c>
      <c r="V32" s="8">
        <v>0.2</v>
      </c>
      <c r="W32" s="8">
        <v>0</v>
      </c>
      <c r="X32" s="8">
        <v>0</v>
      </c>
      <c r="Y32" s="13">
        <f t="shared" si="2"/>
        <v>-1</v>
      </c>
      <c r="Z32" s="13" t="str">
        <f t="shared" si="2"/>
        <v>n/a</v>
      </c>
      <c r="AA32" s="14" t="str">
        <f t="shared" si="3"/>
        <v>n/a</v>
      </c>
      <c r="AB32" s="15">
        <v>0.03</v>
      </c>
      <c r="AC32" s="16">
        <v>60</v>
      </c>
      <c r="AD32" s="16">
        <v>100</v>
      </c>
      <c r="AE32" s="17">
        <v>0.05</v>
      </c>
    </row>
    <row r="33" spans="1:31" ht="37.950000000000003" customHeight="1" x14ac:dyDescent="0.3">
      <c r="A33" s="18">
        <v>30</v>
      </c>
      <c r="B33" s="19" t="s">
        <v>198</v>
      </c>
      <c r="C33" s="19" t="s">
        <v>199</v>
      </c>
      <c r="D33" s="19">
        <v>2020</v>
      </c>
      <c r="E33" s="19">
        <v>2022</v>
      </c>
      <c r="F33" s="19" t="s">
        <v>200</v>
      </c>
      <c r="G33" s="19" t="s">
        <v>201</v>
      </c>
      <c r="H33" s="19" t="s">
        <v>202</v>
      </c>
      <c r="I33" s="19" t="s">
        <v>64</v>
      </c>
      <c r="J33" s="20">
        <v>3.2</v>
      </c>
      <c r="K33" s="21">
        <f t="shared" si="0"/>
        <v>2020</v>
      </c>
      <c r="L33" s="21">
        <f t="shared" si="0"/>
        <v>2022</v>
      </c>
      <c r="M33" s="21">
        <f t="shared" si="1"/>
        <v>2</v>
      </c>
      <c r="N33" s="22" t="s">
        <v>38</v>
      </c>
      <c r="O33" s="22" t="s">
        <v>93</v>
      </c>
      <c r="P33" s="22" t="s">
        <v>40</v>
      </c>
      <c r="Q33" s="23">
        <v>35</v>
      </c>
      <c r="R33" s="24">
        <v>15</v>
      </c>
      <c r="S33" s="20">
        <v>0.3</v>
      </c>
      <c r="T33" s="20">
        <v>0</v>
      </c>
      <c r="U33" s="20">
        <v>0</v>
      </c>
      <c r="V33" s="20">
        <v>1.5</v>
      </c>
      <c r="W33" s="20">
        <v>0</v>
      </c>
      <c r="X33" s="20">
        <v>0</v>
      </c>
      <c r="Y33" s="25">
        <f t="shared" si="2"/>
        <v>-1</v>
      </c>
      <c r="Z33" s="25" t="str">
        <f t="shared" si="2"/>
        <v>n/a</v>
      </c>
      <c r="AA33" s="26" t="str">
        <f t="shared" si="3"/>
        <v>n/a</v>
      </c>
      <c r="AB33" s="27">
        <v>0.2</v>
      </c>
      <c r="AC33" s="28">
        <v>70</v>
      </c>
      <c r="AD33" s="28">
        <v>100</v>
      </c>
      <c r="AE33" s="29">
        <v>0.1</v>
      </c>
    </row>
    <row r="34" spans="1:31" ht="37.950000000000003" customHeight="1" x14ac:dyDescent="0.3">
      <c r="A34" s="6">
        <v>31</v>
      </c>
      <c r="B34" s="7" t="s">
        <v>203</v>
      </c>
      <c r="C34" s="7" t="s">
        <v>204</v>
      </c>
      <c r="D34" s="7">
        <v>2017</v>
      </c>
      <c r="E34" s="7">
        <v>2022</v>
      </c>
      <c r="F34" s="7" t="s">
        <v>205</v>
      </c>
      <c r="G34" s="7" t="s">
        <v>206</v>
      </c>
      <c r="H34" s="7" t="s">
        <v>207</v>
      </c>
      <c r="I34" s="7" t="s">
        <v>64</v>
      </c>
      <c r="J34" s="8">
        <v>56.4</v>
      </c>
      <c r="K34" s="9">
        <f t="shared" si="0"/>
        <v>2017</v>
      </c>
      <c r="L34" s="9">
        <f t="shared" si="0"/>
        <v>2022</v>
      </c>
      <c r="M34" s="9">
        <f t="shared" si="1"/>
        <v>5</v>
      </c>
      <c r="N34" s="10" t="s">
        <v>38</v>
      </c>
      <c r="O34" s="10" t="s">
        <v>116</v>
      </c>
      <c r="P34" s="10" t="s">
        <v>40</v>
      </c>
      <c r="Q34" s="11">
        <v>400</v>
      </c>
      <c r="R34" s="12">
        <v>200</v>
      </c>
      <c r="S34" s="8">
        <v>12</v>
      </c>
      <c r="T34" s="8">
        <v>0</v>
      </c>
      <c r="U34" s="8">
        <v>0</v>
      </c>
      <c r="V34" s="8">
        <v>18</v>
      </c>
      <c r="W34" s="8">
        <v>0</v>
      </c>
      <c r="X34" s="8">
        <v>0</v>
      </c>
      <c r="Y34" s="13">
        <f t="shared" si="2"/>
        <v>-1</v>
      </c>
      <c r="Z34" s="13" t="str">
        <f t="shared" si="2"/>
        <v>n/a</v>
      </c>
      <c r="AA34" s="14" t="str">
        <f t="shared" si="3"/>
        <v>n/a</v>
      </c>
      <c r="AB34" s="15">
        <v>1.5</v>
      </c>
      <c r="AC34" s="16">
        <v>80</v>
      </c>
      <c r="AD34" s="16">
        <v>100</v>
      </c>
      <c r="AE34" s="17">
        <v>0.5</v>
      </c>
    </row>
    <row r="35" spans="1:31" ht="37.950000000000003" customHeight="1" x14ac:dyDescent="0.3">
      <c r="A35" s="18">
        <v>32</v>
      </c>
      <c r="B35" s="19" t="s">
        <v>208</v>
      </c>
      <c r="C35" s="19" t="s">
        <v>209</v>
      </c>
      <c r="D35" s="19">
        <v>2017</v>
      </c>
      <c r="E35" s="19">
        <v>2022</v>
      </c>
      <c r="F35" s="19" t="s">
        <v>173</v>
      </c>
      <c r="G35" s="19" t="s">
        <v>210</v>
      </c>
      <c r="H35" s="19" t="s">
        <v>211</v>
      </c>
      <c r="I35" s="19" t="s">
        <v>212</v>
      </c>
      <c r="J35" s="20">
        <v>2</v>
      </c>
      <c r="K35" s="21">
        <f t="shared" si="0"/>
        <v>2017</v>
      </c>
      <c r="L35" s="21">
        <f t="shared" si="0"/>
        <v>2022</v>
      </c>
      <c r="M35" s="21">
        <f t="shared" si="1"/>
        <v>5</v>
      </c>
      <c r="N35" s="22" t="s">
        <v>56</v>
      </c>
      <c r="O35" s="22" t="s">
        <v>93</v>
      </c>
      <c r="P35" s="22" t="s">
        <v>195</v>
      </c>
      <c r="Q35" s="23">
        <v>30</v>
      </c>
      <c r="R35" s="24">
        <v>10</v>
      </c>
      <c r="S35" s="20">
        <v>0.1</v>
      </c>
      <c r="T35" s="20">
        <v>0.05</v>
      </c>
      <c r="U35" s="20">
        <v>0</v>
      </c>
      <c r="V35" s="20">
        <v>0.5</v>
      </c>
      <c r="W35" s="20">
        <v>0.7</v>
      </c>
      <c r="X35" s="20">
        <v>0</v>
      </c>
      <c r="Y35" s="25">
        <f t="shared" si="2"/>
        <v>-0.5</v>
      </c>
      <c r="Z35" s="25">
        <f t="shared" si="2"/>
        <v>-1</v>
      </c>
      <c r="AA35" s="26">
        <f t="shared" si="3"/>
        <v>13.999999999999998</v>
      </c>
      <c r="AB35" s="27">
        <v>0.05</v>
      </c>
      <c r="AC35" s="28">
        <v>70</v>
      </c>
      <c r="AD35" s="28">
        <v>100</v>
      </c>
      <c r="AE35" s="29">
        <v>0.05</v>
      </c>
    </row>
    <row r="36" spans="1:31" ht="37.950000000000003" customHeight="1" x14ac:dyDescent="0.3">
      <c r="A36" s="6">
        <v>33</v>
      </c>
      <c r="B36" s="7" t="s">
        <v>213</v>
      </c>
      <c r="C36" s="7" t="s">
        <v>214</v>
      </c>
      <c r="D36" s="7">
        <v>2012</v>
      </c>
      <c r="E36" s="7">
        <v>2021</v>
      </c>
      <c r="F36" s="7" t="s">
        <v>215</v>
      </c>
      <c r="G36" s="7" t="s">
        <v>216</v>
      </c>
      <c r="H36" s="7" t="s">
        <v>217</v>
      </c>
      <c r="I36" s="7" t="s">
        <v>218</v>
      </c>
      <c r="J36" s="8">
        <v>250</v>
      </c>
      <c r="K36" s="9">
        <f t="shared" si="0"/>
        <v>2012</v>
      </c>
      <c r="L36" s="9">
        <f t="shared" si="0"/>
        <v>2021</v>
      </c>
      <c r="M36" s="9">
        <f t="shared" si="1"/>
        <v>9</v>
      </c>
      <c r="N36" s="10" t="s">
        <v>219</v>
      </c>
      <c r="O36" s="10" t="s">
        <v>220</v>
      </c>
      <c r="P36" s="10" t="s">
        <v>195</v>
      </c>
      <c r="Q36" s="11">
        <v>200</v>
      </c>
      <c r="R36" s="12">
        <v>1400</v>
      </c>
      <c r="S36" s="8">
        <v>0</v>
      </c>
      <c r="T36" s="8">
        <v>0</v>
      </c>
      <c r="U36" s="8">
        <v>0</v>
      </c>
      <c r="V36" s="8">
        <v>25</v>
      </c>
      <c r="W36" s="8">
        <v>0</v>
      </c>
      <c r="X36" s="8">
        <v>0</v>
      </c>
      <c r="Y36" s="13" t="str">
        <f t="shared" si="2"/>
        <v>n/a</v>
      </c>
      <c r="Z36" s="13" t="str">
        <f t="shared" si="2"/>
        <v>n/a</v>
      </c>
      <c r="AA36" s="14" t="str">
        <f t="shared" si="3"/>
        <v>n/a</v>
      </c>
      <c r="AB36" s="15">
        <v>2</v>
      </c>
      <c r="AC36" s="16">
        <v>95</v>
      </c>
      <c r="AD36" s="16">
        <v>100</v>
      </c>
      <c r="AE36" s="17">
        <v>100</v>
      </c>
    </row>
    <row r="37" spans="1:31" ht="37.950000000000003" customHeight="1" x14ac:dyDescent="0.3">
      <c r="A37" s="18">
        <v>34</v>
      </c>
      <c r="B37" s="19" t="s">
        <v>221</v>
      </c>
      <c r="C37" s="19" t="s">
        <v>191</v>
      </c>
      <c r="D37" s="19">
        <v>2011</v>
      </c>
      <c r="E37" s="19">
        <v>2024</v>
      </c>
      <c r="F37" s="19" t="s">
        <v>222</v>
      </c>
      <c r="G37" s="19" t="s">
        <v>223</v>
      </c>
      <c r="H37" s="19" t="s">
        <v>224</v>
      </c>
      <c r="I37" s="19" t="s">
        <v>64</v>
      </c>
      <c r="J37" s="20">
        <v>5000</v>
      </c>
      <c r="K37" s="21">
        <f t="shared" si="0"/>
        <v>2011</v>
      </c>
      <c r="L37" s="21">
        <f t="shared" si="0"/>
        <v>2024</v>
      </c>
      <c r="M37" s="21">
        <f t="shared" si="1"/>
        <v>13</v>
      </c>
      <c r="N37" s="22" t="s">
        <v>38</v>
      </c>
      <c r="O37" s="22" t="s">
        <v>220</v>
      </c>
      <c r="P37" s="22" t="s">
        <v>49</v>
      </c>
      <c r="Q37" s="23">
        <v>50000</v>
      </c>
      <c r="R37" s="24">
        <v>22000</v>
      </c>
      <c r="S37" s="20">
        <v>1000</v>
      </c>
      <c r="T37" s="20">
        <v>700</v>
      </c>
      <c r="U37" s="20">
        <v>400</v>
      </c>
      <c r="V37" s="20">
        <v>1100</v>
      </c>
      <c r="W37" s="20">
        <v>950</v>
      </c>
      <c r="X37" s="20">
        <v>600</v>
      </c>
      <c r="Y37" s="25">
        <f t="shared" si="2"/>
        <v>-0.3</v>
      </c>
      <c r="Z37" s="25">
        <f t="shared" si="2"/>
        <v>-0.42857142857142855</v>
      </c>
      <c r="AA37" s="26">
        <f t="shared" si="3"/>
        <v>1.3571428571428572</v>
      </c>
      <c r="AB37" s="27">
        <v>90</v>
      </c>
      <c r="AC37" s="28">
        <v>99</v>
      </c>
      <c r="AD37" s="28">
        <v>90</v>
      </c>
      <c r="AE37" s="29">
        <v>150</v>
      </c>
    </row>
    <row r="38" spans="1:31" ht="37.950000000000003" customHeight="1" x14ac:dyDescent="0.3">
      <c r="A38" s="6">
        <v>35</v>
      </c>
      <c r="B38" s="7" t="s">
        <v>225</v>
      </c>
      <c r="C38" s="7" t="s">
        <v>226</v>
      </c>
      <c r="D38" s="7">
        <v>2016</v>
      </c>
      <c r="E38" s="7">
        <v>2023</v>
      </c>
      <c r="F38" s="7" t="s">
        <v>227</v>
      </c>
      <c r="G38" s="7" t="s">
        <v>228</v>
      </c>
      <c r="H38" s="7" t="s">
        <v>229</v>
      </c>
      <c r="I38" s="7" t="s">
        <v>64</v>
      </c>
      <c r="J38" s="8">
        <v>62</v>
      </c>
      <c r="K38" s="9">
        <f t="shared" si="0"/>
        <v>2016</v>
      </c>
      <c r="L38" s="9">
        <f t="shared" si="0"/>
        <v>2023</v>
      </c>
      <c r="M38" s="9">
        <f t="shared" si="1"/>
        <v>7</v>
      </c>
      <c r="N38" s="10" t="s">
        <v>47</v>
      </c>
      <c r="O38" s="10" t="s">
        <v>116</v>
      </c>
      <c r="P38" s="10" t="s">
        <v>49</v>
      </c>
      <c r="Q38" s="11">
        <v>1000</v>
      </c>
      <c r="R38" s="12">
        <v>285</v>
      </c>
      <c r="S38" s="8">
        <v>12</v>
      </c>
      <c r="T38" s="8">
        <v>6</v>
      </c>
      <c r="U38" s="8">
        <v>0</v>
      </c>
      <c r="V38" s="8">
        <v>8</v>
      </c>
      <c r="W38" s="8">
        <v>15</v>
      </c>
      <c r="X38" s="8">
        <v>0</v>
      </c>
      <c r="Y38" s="13">
        <f t="shared" si="2"/>
        <v>-0.5</v>
      </c>
      <c r="Z38" s="13">
        <f t="shared" si="2"/>
        <v>-1</v>
      </c>
      <c r="AA38" s="14">
        <f t="shared" si="3"/>
        <v>2.5</v>
      </c>
      <c r="AB38" s="15">
        <v>1.5</v>
      </c>
      <c r="AC38" s="16">
        <v>85</v>
      </c>
      <c r="AD38" s="16">
        <v>100</v>
      </c>
      <c r="AE38" s="17">
        <v>2</v>
      </c>
    </row>
    <row r="39" spans="1:31" ht="37.950000000000003" customHeight="1" x14ac:dyDescent="0.3">
      <c r="A39" s="18">
        <v>36</v>
      </c>
      <c r="B39" s="19" t="s">
        <v>230</v>
      </c>
      <c r="C39" s="19" t="s">
        <v>231</v>
      </c>
      <c r="D39" s="19">
        <v>2020</v>
      </c>
      <c r="E39" s="19">
        <v>2025</v>
      </c>
      <c r="F39" s="19" t="s">
        <v>232</v>
      </c>
      <c r="G39" s="19" t="s">
        <v>233</v>
      </c>
      <c r="H39" s="19" t="s">
        <v>234</v>
      </c>
      <c r="I39" s="19" t="s">
        <v>235</v>
      </c>
      <c r="J39" s="20">
        <v>32</v>
      </c>
      <c r="K39" s="21">
        <f t="shared" si="0"/>
        <v>2020</v>
      </c>
      <c r="L39" s="21">
        <f t="shared" si="0"/>
        <v>2025</v>
      </c>
      <c r="M39" s="21">
        <f t="shared" si="1"/>
        <v>5</v>
      </c>
      <c r="N39" s="22" t="s">
        <v>219</v>
      </c>
      <c r="O39" s="22" t="s">
        <v>48</v>
      </c>
      <c r="P39" s="22" t="s">
        <v>40</v>
      </c>
      <c r="Q39" s="23">
        <v>300</v>
      </c>
      <c r="R39" s="24">
        <v>100</v>
      </c>
      <c r="S39" s="20">
        <v>15</v>
      </c>
      <c r="T39" s="20">
        <v>19</v>
      </c>
      <c r="U39" s="20">
        <v>6</v>
      </c>
      <c r="V39" s="20">
        <v>5</v>
      </c>
      <c r="W39" s="20">
        <v>6</v>
      </c>
      <c r="X39" s="20">
        <v>4</v>
      </c>
      <c r="Y39" s="25">
        <f t="shared" si="2"/>
        <v>0.26666666666666666</v>
      </c>
      <c r="Z39" s="25">
        <f t="shared" si="2"/>
        <v>-0.68421052631578949</v>
      </c>
      <c r="AA39" s="26">
        <f t="shared" si="3"/>
        <v>0.31578947368421051</v>
      </c>
      <c r="AB39" s="27">
        <v>0.5</v>
      </c>
      <c r="AC39" s="28">
        <v>80</v>
      </c>
      <c r="AD39" s="28">
        <v>100</v>
      </c>
      <c r="AE39" s="29">
        <v>0.5</v>
      </c>
    </row>
    <row r="40" spans="1:31" ht="37.950000000000003" customHeight="1" x14ac:dyDescent="0.3">
      <c r="A40" s="6">
        <v>37</v>
      </c>
      <c r="B40" s="7" t="s">
        <v>236</v>
      </c>
      <c r="C40" s="7" t="s">
        <v>237</v>
      </c>
      <c r="D40" s="7">
        <v>2021</v>
      </c>
      <c r="E40" s="7">
        <v>2025</v>
      </c>
      <c r="F40" s="7" t="s">
        <v>238</v>
      </c>
      <c r="G40" s="7" t="s">
        <v>239</v>
      </c>
      <c r="H40" s="7" t="s">
        <v>240</v>
      </c>
      <c r="I40" s="7" t="s">
        <v>64</v>
      </c>
      <c r="J40" s="8">
        <v>12</v>
      </c>
      <c r="K40" s="9">
        <f t="shared" si="0"/>
        <v>2021</v>
      </c>
      <c r="L40" s="9">
        <f t="shared" si="0"/>
        <v>2025</v>
      </c>
      <c r="M40" s="9">
        <f t="shared" si="1"/>
        <v>4</v>
      </c>
      <c r="N40" s="10" t="s">
        <v>38</v>
      </c>
      <c r="O40" s="10" t="s">
        <v>78</v>
      </c>
      <c r="P40" s="10" t="s">
        <v>40</v>
      </c>
      <c r="Q40" s="11">
        <v>200</v>
      </c>
      <c r="R40" s="12">
        <v>50</v>
      </c>
      <c r="S40" s="8">
        <v>1</v>
      </c>
      <c r="T40" s="8">
        <v>2</v>
      </c>
      <c r="U40" s="8">
        <v>0.8</v>
      </c>
      <c r="V40" s="8">
        <v>3</v>
      </c>
      <c r="W40" s="8">
        <v>4</v>
      </c>
      <c r="X40" s="8">
        <v>2</v>
      </c>
      <c r="Y40" s="13">
        <f t="shared" si="2"/>
        <v>1</v>
      </c>
      <c r="Z40" s="13">
        <f t="shared" si="2"/>
        <v>-0.6</v>
      </c>
      <c r="AA40" s="14">
        <f t="shared" si="3"/>
        <v>2</v>
      </c>
      <c r="AB40" s="15">
        <v>0.3</v>
      </c>
      <c r="AC40" s="16">
        <v>80</v>
      </c>
      <c r="AD40" s="16">
        <v>100</v>
      </c>
      <c r="AE40" s="17">
        <v>0.1</v>
      </c>
    </row>
    <row r="41" spans="1:31" ht="37.950000000000003" customHeight="1" x14ac:dyDescent="0.3">
      <c r="A41" s="18">
        <v>38</v>
      </c>
      <c r="B41" s="19" t="s">
        <v>241</v>
      </c>
      <c r="C41" s="19" t="s">
        <v>242</v>
      </c>
      <c r="D41" s="19">
        <v>2012</v>
      </c>
      <c r="E41" s="19">
        <v>2025</v>
      </c>
      <c r="F41" s="19" t="s">
        <v>243</v>
      </c>
      <c r="G41" s="19" t="s">
        <v>244</v>
      </c>
      <c r="H41" s="19" t="s">
        <v>245</v>
      </c>
      <c r="I41" s="19" t="s">
        <v>64</v>
      </c>
      <c r="J41" s="20">
        <v>60</v>
      </c>
      <c r="K41" s="21">
        <f t="shared" si="0"/>
        <v>2012</v>
      </c>
      <c r="L41" s="21">
        <f t="shared" si="0"/>
        <v>2025</v>
      </c>
      <c r="M41" s="21">
        <f t="shared" si="1"/>
        <v>13</v>
      </c>
      <c r="N41" s="22" t="s">
        <v>38</v>
      </c>
      <c r="O41" s="22" t="s">
        <v>48</v>
      </c>
      <c r="P41" s="22" t="s">
        <v>40</v>
      </c>
      <c r="Q41" s="23">
        <v>500</v>
      </c>
      <c r="R41" s="24">
        <v>150</v>
      </c>
      <c r="S41" s="20">
        <v>12</v>
      </c>
      <c r="T41" s="20">
        <v>14.6</v>
      </c>
      <c r="U41" s="20">
        <v>8</v>
      </c>
      <c r="V41" s="20">
        <v>7</v>
      </c>
      <c r="W41" s="20">
        <v>29</v>
      </c>
      <c r="X41" s="20">
        <v>18</v>
      </c>
      <c r="Y41" s="25">
        <f t="shared" si="2"/>
        <v>0.21666666666666665</v>
      </c>
      <c r="Z41" s="25">
        <f t="shared" si="2"/>
        <v>-0.45205479452054792</v>
      </c>
      <c r="AA41" s="26">
        <f t="shared" si="3"/>
        <v>1.9863013698630136</v>
      </c>
      <c r="AB41" s="27">
        <v>1.8</v>
      </c>
      <c r="AC41" s="28">
        <v>85</v>
      </c>
      <c r="AD41" s="28">
        <v>100</v>
      </c>
      <c r="AE41" s="29">
        <v>0.05</v>
      </c>
    </row>
    <row r="42" spans="1:31" ht="37.950000000000003" customHeight="1" x14ac:dyDescent="0.3">
      <c r="A42" s="6">
        <v>39</v>
      </c>
      <c r="B42" s="7" t="s">
        <v>246</v>
      </c>
      <c r="C42" s="7" t="s">
        <v>247</v>
      </c>
      <c r="D42" s="7">
        <v>2017</v>
      </c>
      <c r="E42" s="7">
        <v>2025</v>
      </c>
      <c r="F42" s="7" t="s">
        <v>248</v>
      </c>
      <c r="G42" s="7" t="s">
        <v>249</v>
      </c>
      <c r="H42" s="7" t="s">
        <v>250</v>
      </c>
      <c r="I42" s="7" t="s">
        <v>64</v>
      </c>
      <c r="J42" s="8">
        <v>15</v>
      </c>
      <c r="K42" s="9">
        <f t="shared" si="0"/>
        <v>2017</v>
      </c>
      <c r="L42" s="9">
        <f t="shared" si="0"/>
        <v>2025</v>
      </c>
      <c r="M42" s="9">
        <f t="shared" si="1"/>
        <v>8</v>
      </c>
      <c r="N42" s="10" t="s">
        <v>56</v>
      </c>
      <c r="O42" s="10" t="s">
        <v>78</v>
      </c>
      <c r="P42" s="10" t="s">
        <v>40</v>
      </c>
      <c r="Q42" s="11">
        <v>150</v>
      </c>
      <c r="R42" s="12">
        <v>50</v>
      </c>
      <c r="S42" s="8">
        <v>0.5</v>
      </c>
      <c r="T42" s="8">
        <v>1</v>
      </c>
      <c r="U42" s="8">
        <v>0.6</v>
      </c>
      <c r="V42" s="8">
        <v>2</v>
      </c>
      <c r="W42" s="8">
        <v>3</v>
      </c>
      <c r="X42" s="8">
        <v>2</v>
      </c>
      <c r="Y42" s="13">
        <f t="shared" si="2"/>
        <v>1</v>
      </c>
      <c r="Z42" s="13">
        <f t="shared" si="2"/>
        <v>-0.4</v>
      </c>
      <c r="AA42" s="14">
        <f t="shared" si="3"/>
        <v>3</v>
      </c>
      <c r="AB42" s="15">
        <v>0.2</v>
      </c>
      <c r="AC42" s="16">
        <v>75</v>
      </c>
      <c r="AD42" s="16">
        <v>100</v>
      </c>
      <c r="AE42" s="17">
        <v>0.2</v>
      </c>
    </row>
    <row r="43" spans="1:31" ht="37.950000000000003" customHeight="1" x14ac:dyDescent="0.3">
      <c r="A43" s="18">
        <v>40</v>
      </c>
      <c r="B43" s="19" t="s">
        <v>251</v>
      </c>
      <c r="C43" s="19" t="s">
        <v>252</v>
      </c>
      <c r="D43" s="19">
        <v>2020</v>
      </c>
      <c r="E43" s="19">
        <v>2025</v>
      </c>
      <c r="F43" s="19" t="s">
        <v>253</v>
      </c>
      <c r="G43" s="19" t="s">
        <v>254</v>
      </c>
      <c r="H43" s="19" t="s">
        <v>255</v>
      </c>
      <c r="I43" s="19" t="s">
        <v>256</v>
      </c>
      <c r="J43" s="20">
        <v>1.2</v>
      </c>
      <c r="K43" s="21">
        <f t="shared" si="0"/>
        <v>2020</v>
      </c>
      <c r="L43" s="21">
        <f t="shared" si="0"/>
        <v>2025</v>
      </c>
      <c r="M43" s="21">
        <f t="shared" si="1"/>
        <v>5</v>
      </c>
      <c r="N43" s="22" t="s">
        <v>257</v>
      </c>
      <c r="O43" s="22" t="s">
        <v>93</v>
      </c>
      <c r="P43" s="22" t="s">
        <v>40</v>
      </c>
      <c r="Q43" s="23">
        <v>20</v>
      </c>
      <c r="R43" s="24">
        <v>8</v>
      </c>
      <c r="S43" s="20">
        <v>0.05</v>
      </c>
      <c r="T43" s="20">
        <v>0.1</v>
      </c>
      <c r="U43" s="20">
        <v>0.05</v>
      </c>
      <c r="V43" s="20">
        <v>0.3</v>
      </c>
      <c r="W43" s="20">
        <v>0.5</v>
      </c>
      <c r="X43" s="20">
        <v>0.2</v>
      </c>
      <c r="Y43" s="25">
        <f t="shared" si="2"/>
        <v>1</v>
      </c>
      <c r="Z43" s="25">
        <f t="shared" si="2"/>
        <v>-0.5</v>
      </c>
      <c r="AA43" s="26">
        <f t="shared" si="3"/>
        <v>5</v>
      </c>
      <c r="AB43" s="27">
        <v>0.04</v>
      </c>
      <c r="AC43" s="28">
        <v>60</v>
      </c>
      <c r="AD43" s="28">
        <v>100</v>
      </c>
      <c r="AE43" s="29">
        <v>0.01</v>
      </c>
    </row>
    <row r="44" spans="1:31" ht="37.950000000000003" customHeight="1" x14ac:dyDescent="0.3">
      <c r="A44" s="6">
        <v>41</v>
      </c>
      <c r="B44" s="7" t="s">
        <v>258</v>
      </c>
      <c r="C44" s="7" t="s">
        <v>259</v>
      </c>
      <c r="D44" s="7">
        <v>2023</v>
      </c>
      <c r="E44" s="7">
        <v>2025</v>
      </c>
      <c r="F44" s="7" t="s">
        <v>260</v>
      </c>
      <c r="G44" s="7" t="s">
        <v>261</v>
      </c>
      <c r="H44" s="7" t="s">
        <v>262</v>
      </c>
      <c r="I44" s="7" t="s">
        <v>256</v>
      </c>
      <c r="J44" s="8">
        <v>1</v>
      </c>
      <c r="K44" s="9">
        <f t="shared" si="0"/>
        <v>2023</v>
      </c>
      <c r="L44" s="9">
        <f t="shared" si="0"/>
        <v>2025</v>
      </c>
      <c r="M44" s="9">
        <f t="shared" si="1"/>
        <v>2</v>
      </c>
      <c r="N44" s="10" t="s">
        <v>38</v>
      </c>
      <c r="O44" s="10" t="s">
        <v>93</v>
      </c>
      <c r="P44" s="10" t="s">
        <v>40</v>
      </c>
      <c r="Q44" s="11">
        <v>30</v>
      </c>
      <c r="R44" s="12">
        <v>5</v>
      </c>
      <c r="S44" s="8">
        <v>0</v>
      </c>
      <c r="T44" s="8">
        <v>0.05</v>
      </c>
      <c r="U44" s="8">
        <v>0.02</v>
      </c>
      <c r="V44" s="8">
        <v>0.2</v>
      </c>
      <c r="W44" s="8">
        <v>0.5</v>
      </c>
      <c r="X44" s="8">
        <v>0.3</v>
      </c>
      <c r="Y44" s="13" t="str">
        <f t="shared" si="2"/>
        <v>n/a</v>
      </c>
      <c r="Z44" s="13">
        <f t="shared" si="2"/>
        <v>-0.6</v>
      </c>
      <c r="AA44" s="14">
        <f t="shared" si="3"/>
        <v>10</v>
      </c>
      <c r="AB44" s="15">
        <v>0.05</v>
      </c>
      <c r="AC44" s="16">
        <v>60</v>
      </c>
      <c r="AD44" s="16">
        <v>100</v>
      </c>
      <c r="AE44" s="17">
        <v>0.02</v>
      </c>
    </row>
    <row r="45" spans="1:31" ht="37.950000000000003" customHeight="1" x14ac:dyDescent="0.3">
      <c r="A45" s="18">
        <v>42</v>
      </c>
      <c r="B45" s="19" t="s">
        <v>263</v>
      </c>
      <c r="C45" s="19" t="s">
        <v>264</v>
      </c>
      <c r="D45" s="19">
        <v>2022</v>
      </c>
      <c r="E45" s="19">
        <v>2025</v>
      </c>
      <c r="F45" s="19" t="s">
        <v>265</v>
      </c>
      <c r="G45" s="19" t="s">
        <v>155</v>
      </c>
      <c r="H45" s="19" t="s">
        <v>266</v>
      </c>
      <c r="I45" s="19" t="s">
        <v>256</v>
      </c>
      <c r="J45" s="20">
        <v>0.5</v>
      </c>
      <c r="K45" s="21">
        <f t="shared" si="0"/>
        <v>2022</v>
      </c>
      <c r="L45" s="21">
        <f t="shared" si="0"/>
        <v>2025</v>
      </c>
      <c r="M45" s="21">
        <f t="shared" si="1"/>
        <v>3</v>
      </c>
      <c r="N45" s="22" t="s">
        <v>56</v>
      </c>
      <c r="O45" s="22" t="s">
        <v>93</v>
      </c>
      <c r="P45" s="22" t="s">
        <v>40</v>
      </c>
      <c r="Q45" s="23">
        <v>20</v>
      </c>
      <c r="R45" s="24">
        <v>3</v>
      </c>
      <c r="S45" s="20">
        <v>0</v>
      </c>
      <c r="T45" s="20">
        <v>0.1</v>
      </c>
      <c r="U45" s="20">
        <v>0.05</v>
      </c>
      <c r="V45" s="20">
        <v>0.15</v>
      </c>
      <c r="W45" s="20">
        <v>0.3</v>
      </c>
      <c r="X45" s="20">
        <v>0.2</v>
      </c>
      <c r="Y45" s="25" t="str">
        <f t="shared" si="2"/>
        <v>n/a</v>
      </c>
      <c r="Z45" s="25">
        <f t="shared" si="2"/>
        <v>-0.5</v>
      </c>
      <c r="AA45" s="26">
        <f t="shared" si="3"/>
        <v>2.9999999999999996</v>
      </c>
      <c r="AB45" s="27">
        <v>0.03</v>
      </c>
      <c r="AC45" s="28">
        <v>60</v>
      </c>
      <c r="AD45" s="28">
        <v>100</v>
      </c>
      <c r="AE45" s="29">
        <v>0.05</v>
      </c>
    </row>
    <row r="46" spans="1:31" ht="37.950000000000003" customHeight="1" x14ac:dyDescent="0.3">
      <c r="A46" s="6">
        <v>43</v>
      </c>
      <c r="B46" s="7" t="s">
        <v>267</v>
      </c>
      <c r="C46" s="7" t="s">
        <v>268</v>
      </c>
      <c r="D46" s="7">
        <v>2022</v>
      </c>
      <c r="E46" s="7">
        <v>2025</v>
      </c>
      <c r="F46" s="7" t="s">
        <v>269</v>
      </c>
      <c r="G46" s="7" t="s">
        <v>270</v>
      </c>
      <c r="H46" s="7" t="s">
        <v>271</v>
      </c>
      <c r="I46" s="7" t="s">
        <v>64</v>
      </c>
      <c r="J46" s="8">
        <v>0.5</v>
      </c>
      <c r="K46" s="9">
        <f t="shared" si="0"/>
        <v>2022</v>
      </c>
      <c r="L46" s="9">
        <f t="shared" si="0"/>
        <v>2025</v>
      </c>
      <c r="M46" s="9">
        <f t="shared" si="1"/>
        <v>3</v>
      </c>
      <c r="N46" s="10" t="s">
        <v>38</v>
      </c>
      <c r="O46" s="10" t="s">
        <v>93</v>
      </c>
      <c r="P46" s="10" t="s">
        <v>272</v>
      </c>
      <c r="Q46" s="11">
        <v>8</v>
      </c>
      <c r="R46" s="12">
        <v>3</v>
      </c>
      <c r="S46" s="8">
        <v>0.01</v>
      </c>
      <c r="T46" s="8">
        <v>0.02</v>
      </c>
      <c r="U46" s="8">
        <v>0.02</v>
      </c>
      <c r="V46" s="8">
        <v>0.1</v>
      </c>
      <c r="W46" s="8">
        <v>0.15</v>
      </c>
      <c r="X46" s="8">
        <v>0.2</v>
      </c>
      <c r="Y46" s="13">
        <f t="shared" si="2"/>
        <v>1</v>
      </c>
      <c r="Z46" s="13">
        <f t="shared" si="2"/>
        <v>0</v>
      </c>
      <c r="AA46" s="14">
        <f t="shared" si="3"/>
        <v>7.5</v>
      </c>
      <c r="AB46" s="15">
        <v>0.02</v>
      </c>
      <c r="AC46" s="16">
        <v>70</v>
      </c>
      <c r="AD46" s="16">
        <v>100</v>
      </c>
      <c r="AE46" s="17">
        <v>5.0000000000000001E-3</v>
      </c>
    </row>
    <row r="47" spans="1:31" ht="37.950000000000003" customHeight="1" x14ac:dyDescent="0.3">
      <c r="A47" s="18">
        <v>44</v>
      </c>
      <c r="B47" s="19" t="s">
        <v>273</v>
      </c>
      <c r="C47" s="19" t="s">
        <v>274</v>
      </c>
      <c r="D47" s="19">
        <v>2021</v>
      </c>
      <c r="E47" s="19">
        <v>2024</v>
      </c>
      <c r="F47" s="19" t="s">
        <v>275</v>
      </c>
      <c r="G47" s="19" t="s">
        <v>276</v>
      </c>
      <c r="H47" s="19" t="s">
        <v>277</v>
      </c>
      <c r="I47" s="19" t="s">
        <v>278</v>
      </c>
      <c r="J47" s="20">
        <v>1.2</v>
      </c>
      <c r="K47" s="21">
        <f t="shared" si="0"/>
        <v>2021</v>
      </c>
      <c r="L47" s="21">
        <f t="shared" si="0"/>
        <v>2024</v>
      </c>
      <c r="M47" s="21">
        <f t="shared" si="1"/>
        <v>3</v>
      </c>
      <c r="N47" s="22" t="s">
        <v>279</v>
      </c>
      <c r="O47" s="22" t="s">
        <v>93</v>
      </c>
      <c r="P47" s="22" t="s">
        <v>40</v>
      </c>
      <c r="Q47" s="23">
        <v>40</v>
      </c>
      <c r="R47" s="24">
        <v>8</v>
      </c>
      <c r="S47" s="20">
        <v>0.1</v>
      </c>
      <c r="T47" s="20">
        <v>0.05</v>
      </c>
      <c r="U47" s="20">
        <v>0</v>
      </c>
      <c r="V47" s="20">
        <v>0.5</v>
      </c>
      <c r="W47" s="20">
        <v>0.8</v>
      </c>
      <c r="X47" s="20">
        <v>0</v>
      </c>
      <c r="Y47" s="25">
        <f t="shared" si="2"/>
        <v>-0.5</v>
      </c>
      <c r="Z47" s="25">
        <f t="shared" si="2"/>
        <v>-1</v>
      </c>
      <c r="AA47" s="26">
        <f t="shared" si="3"/>
        <v>16</v>
      </c>
      <c r="AB47" s="27">
        <v>0.06</v>
      </c>
      <c r="AC47" s="28">
        <v>70</v>
      </c>
      <c r="AD47" s="28">
        <v>100</v>
      </c>
      <c r="AE47" s="29">
        <v>0.02</v>
      </c>
    </row>
    <row r="48" spans="1:31" ht="37.950000000000003" customHeight="1" x14ac:dyDescent="0.3">
      <c r="A48" s="6">
        <v>45</v>
      </c>
      <c r="B48" s="7" t="s">
        <v>280</v>
      </c>
      <c r="C48" s="7" t="s">
        <v>281</v>
      </c>
      <c r="D48" s="7">
        <v>2023</v>
      </c>
      <c r="E48" s="7">
        <v>2025</v>
      </c>
      <c r="F48" s="7" t="s">
        <v>93</v>
      </c>
      <c r="G48" s="7" t="s">
        <v>149</v>
      </c>
      <c r="H48" s="7" t="s">
        <v>282</v>
      </c>
      <c r="I48" s="7" t="s">
        <v>283</v>
      </c>
      <c r="J48" s="8">
        <v>0.8</v>
      </c>
      <c r="K48" s="9">
        <f t="shared" si="0"/>
        <v>2023</v>
      </c>
      <c r="L48" s="9">
        <f t="shared" si="0"/>
        <v>2025</v>
      </c>
      <c r="M48" s="9">
        <f t="shared" si="1"/>
        <v>2</v>
      </c>
      <c r="N48" s="10" t="s">
        <v>38</v>
      </c>
      <c r="O48" s="10" t="s">
        <v>93</v>
      </c>
      <c r="P48" s="10" t="s">
        <v>79</v>
      </c>
      <c r="Q48" s="11">
        <v>10</v>
      </c>
      <c r="R48" s="12">
        <v>4</v>
      </c>
      <c r="S48" s="8">
        <v>0</v>
      </c>
      <c r="T48" s="8">
        <v>0</v>
      </c>
      <c r="U48" s="8">
        <v>0.02</v>
      </c>
      <c r="V48" s="8">
        <v>0</v>
      </c>
      <c r="W48" s="8">
        <v>0.1</v>
      </c>
      <c r="X48" s="8">
        <v>0.3</v>
      </c>
      <c r="Y48" s="13" t="str">
        <f t="shared" si="2"/>
        <v>n/a</v>
      </c>
      <c r="Z48" s="13" t="str">
        <f t="shared" si="2"/>
        <v>n/a</v>
      </c>
      <c r="AA48" s="14" t="str">
        <f t="shared" si="3"/>
        <v>n/a</v>
      </c>
      <c r="AB48" s="15">
        <v>0.05</v>
      </c>
      <c r="AC48" s="16">
        <v>50</v>
      </c>
      <c r="AD48" s="16">
        <v>100</v>
      </c>
      <c r="AE48" s="17">
        <v>0.01</v>
      </c>
    </row>
    <row r="49" spans="1:31" ht="37.950000000000003" customHeight="1" x14ac:dyDescent="0.3">
      <c r="A49" s="18">
        <v>46</v>
      </c>
      <c r="B49" s="19" t="s">
        <v>284</v>
      </c>
      <c r="C49" s="19" t="s">
        <v>285</v>
      </c>
      <c r="D49" s="19">
        <v>2019</v>
      </c>
      <c r="E49" s="19">
        <v>2025</v>
      </c>
      <c r="F49" s="19" t="s">
        <v>89</v>
      </c>
      <c r="G49" s="19" t="s">
        <v>286</v>
      </c>
      <c r="H49" s="19" t="s">
        <v>287</v>
      </c>
      <c r="I49" s="19" t="s">
        <v>283</v>
      </c>
      <c r="J49" s="20">
        <v>3</v>
      </c>
      <c r="K49" s="21">
        <f t="shared" si="0"/>
        <v>2019</v>
      </c>
      <c r="L49" s="21">
        <f t="shared" si="0"/>
        <v>2025</v>
      </c>
      <c r="M49" s="21">
        <f t="shared" si="1"/>
        <v>6</v>
      </c>
      <c r="N49" s="22" t="s">
        <v>38</v>
      </c>
      <c r="O49" s="22" t="s">
        <v>93</v>
      </c>
      <c r="P49" s="22" t="s">
        <v>272</v>
      </c>
      <c r="Q49" s="23">
        <v>30</v>
      </c>
      <c r="R49" s="24">
        <v>15</v>
      </c>
      <c r="S49" s="20">
        <v>0.3</v>
      </c>
      <c r="T49" s="20">
        <v>0.5</v>
      </c>
      <c r="U49" s="20">
        <v>0.3</v>
      </c>
      <c r="V49" s="20">
        <v>1</v>
      </c>
      <c r="W49" s="20">
        <v>1.5</v>
      </c>
      <c r="X49" s="20">
        <v>1</v>
      </c>
      <c r="Y49" s="25">
        <f t="shared" si="2"/>
        <v>0.66666666666666674</v>
      </c>
      <c r="Z49" s="25">
        <f t="shared" si="2"/>
        <v>-0.4</v>
      </c>
      <c r="AA49" s="26">
        <f t="shared" si="3"/>
        <v>3</v>
      </c>
      <c r="AB49" s="27">
        <v>0.12</v>
      </c>
      <c r="AC49" s="28">
        <v>60</v>
      </c>
      <c r="AD49" s="28">
        <v>100</v>
      </c>
      <c r="AE49" s="29">
        <v>0.05</v>
      </c>
    </row>
    <row r="50" spans="1:31" ht="37.950000000000003" customHeight="1" x14ac:dyDescent="0.3">
      <c r="A50" s="6">
        <v>47</v>
      </c>
      <c r="B50" s="7" t="s">
        <v>288</v>
      </c>
      <c r="C50" s="7" t="s">
        <v>289</v>
      </c>
      <c r="D50" s="7">
        <v>2017</v>
      </c>
      <c r="E50" s="7">
        <v>2024</v>
      </c>
      <c r="F50" s="7" t="s">
        <v>290</v>
      </c>
      <c r="G50" s="7" t="s">
        <v>291</v>
      </c>
      <c r="H50" s="7" t="s">
        <v>292</v>
      </c>
      <c r="I50" s="7" t="s">
        <v>293</v>
      </c>
      <c r="J50" s="8">
        <v>8</v>
      </c>
      <c r="K50" s="9">
        <f t="shared" si="0"/>
        <v>2017</v>
      </c>
      <c r="L50" s="9">
        <f t="shared" si="0"/>
        <v>2024</v>
      </c>
      <c r="M50" s="9">
        <f t="shared" si="1"/>
        <v>7</v>
      </c>
      <c r="N50" s="10" t="s">
        <v>38</v>
      </c>
      <c r="O50" s="10" t="s">
        <v>78</v>
      </c>
      <c r="P50" s="10" t="s">
        <v>195</v>
      </c>
      <c r="Q50" s="11">
        <v>100</v>
      </c>
      <c r="R50" s="12">
        <v>30</v>
      </c>
      <c r="S50" s="8">
        <v>0.5</v>
      </c>
      <c r="T50" s="8">
        <v>0.3</v>
      </c>
      <c r="U50" s="8">
        <v>0</v>
      </c>
      <c r="V50" s="8">
        <v>1.5</v>
      </c>
      <c r="W50" s="8">
        <v>2.5</v>
      </c>
      <c r="X50" s="8">
        <v>0</v>
      </c>
      <c r="Y50" s="13">
        <f t="shared" si="2"/>
        <v>-0.4</v>
      </c>
      <c r="Z50" s="13">
        <f t="shared" si="2"/>
        <v>-1</v>
      </c>
      <c r="AA50" s="14">
        <f t="shared" si="3"/>
        <v>8.3333333333333339</v>
      </c>
      <c r="AB50" s="15">
        <v>0.2</v>
      </c>
      <c r="AC50" s="16">
        <v>70</v>
      </c>
      <c r="AD50" s="16">
        <v>100</v>
      </c>
      <c r="AE50" s="17">
        <v>0.05</v>
      </c>
    </row>
    <row r="51" spans="1:31" ht="37.950000000000003" customHeight="1" x14ac:dyDescent="0.3">
      <c r="A51" s="18">
        <v>48</v>
      </c>
      <c r="B51" s="19" t="s">
        <v>294</v>
      </c>
      <c r="C51" s="19" t="s">
        <v>295</v>
      </c>
      <c r="D51" s="19">
        <v>2021</v>
      </c>
      <c r="E51" s="19">
        <v>2024</v>
      </c>
      <c r="F51" s="19" t="s">
        <v>296</v>
      </c>
      <c r="G51" s="19" t="s">
        <v>297</v>
      </c>
      <c r="H51" s="19" t="s">
        <v>298</v>
      </c>
      <c r="I51" s="19" t="s">
        <v>293</v>
      </c>
      <c r="J51" s="20">
        <v>1.5</v>
      </c>
      <c r="K51" s="21">
        <f t="shared" si="0"/>
        <v>2021</v>
      </c>
      <c r="L51" s="21">
        <f t="shared" si="0"/>
        <v>2024</v>
      </c>
      <c r="M51" s="21">
        <f t="shared" si="1"/>
        <v>3</v>
      </c>
      <c r="N51" s="22" t="s">
        <v>38</v>
      </c>
      <c r="O51" s="22" t="s">
        <v>93</v>
      </c>
      <c r="P51" s="22" t="s">
        <v>79</v>
      </c>
      <c r="Q51" s="23">
        <v>20</v>
      </c>
      <c r="R51" s="24">
        <v>8</v>
      </c>
      <c r="S51" s="20">
        <v>0.05</v>
      </c>
      <c r="T51" s="20">
        <v>0.1</v>
      </c>
      <c r="U51" s="20">
        <v>0.05</v>
      </c>
      <c r="V51" s="20">
        <v>0.3</v>
      </c>
      <c r="W51" s="20">
        <v>0.5</v>
      </c>
      <c r="X51" s="20">
        <v>0.3</v>
      </c>
      <c r="Y51" s="25">
        <f t="shared" si="2"/>
        <v>1</v>
      </c>
      <c r="Z51" s="25">
        <f t="shared" si="2"/>
        <v>-0.5</v>
      </c>
      <c r="AA51" s="26">
        <f t="shared" si="3"/>
        <v>5</v>
      </c>
      <c r="AB51" s="27">
        <v>0.04</v>
      </c>
      <c r="AC51" s="28">
        <v>60</v>
      </c>
      <c r="AD51" s="28">
        <v>100</v>
      </c>
      <c r="AE51" s="29">
        <v>0.01</v>
      </c>
    </row>
    <row r="52" spans="1:31" ht="37.950000000000003" customHeight="1" x14ac:dyDescent="0.3">
      <c r="A52" s="6">
        <v>49</v>
      </c>
      <c r="B52" s="7" t="s">
        <v>299</v>
      </c>
      <c r="C52" s="7" t="s">
        <v>300</v>
      </c>
      <c r="D52" s="7">
        <v>2021</v>
      </c>
      <c r="E52" s="7">
        <v>2023</v>
      </c>
      <c r="F52" s="7" t="s">
        <v>301</v>
      </c>
      <c r="G52" s="7" t="s">
        <v>302</v>
      </c>
      <c r="H52" s="7" t="s">
        <v>303</v>
      </c>
      <c r="I52" s="7" t="s">
        <v>64</v>
      </c>
      <c r="J52" s="8">
        <v>21</v>
      </c>
      <c r="K52" s="9">
        <f t="shared" si="0"/>
        <v>2021</v>
      </c>
      <c r="L52" s="9">
        <f t="shared" si="0"/>
        <v>2023</v>
      </c>
      <c r="M52" s="9">
        <f t="shared" si="1"/>
        <v>2</v>
      </c>
      <c r="N52" s="10" t="s">
        <v>38</v>
      </c>
      <c r="O52" s="10" t="s">
        <v>78</v>
      </c>
      <c r="P52" s="10" t="s">
        <v>86</v>
      </c>
      <c r="Q52" s="11">
        <v>75</v>
      </c>
      <c r="R52" s="12">
        <v>75</v>
      </c>
      <c r="S52" s="8">
        <v>0.5</v>
      </c>
      <c r="T52" s="8">
        <v>0.2</v>
      </c>
      <c r="U52" s="8">
        <v>0</v>
      </c>
      <c r="V52" s="8">
        <v>6</v>
      </c>
      <c r="W52" s="8">
        <v>9</v>
      </c>
      <c r="X52" s="8">
        <v>0</v>
      </c>
      <c r="Y52" s="13">
        <f t="shared" si="2"/>
        <v>-0.6</v>
      </c>
      <c r="Z52" s="13">
        <f t="shared" si="2"/>
        <v>-1</v>
      </c>
      <c r="AA52" s="14">
        <f t="shared" si="3"/>
        <v>45</v>
      </c>
      <c r="AB52" s="15">
        <v>1</v>
      </c>
      <c r="AC52" s="16">
        <v>70</v>
      </c>
      <c r="AD52" s="16">
        <v>100</v>
      </c>
      <c r="AE52" s="17">
        <v>0.5</v>
      </c>
    </row>
    <row r="53" spans="1:31" ht="37.950000000000003" customHeight="1" x14ac:dyDescent="0.3">
      <c r="A53" s="18">
        <v>50</v>
      </c>
      <c r="B53" s="19" t="s">
        <v>304</v>
      </c>
      <c r="C53" s="19" t="s">
        <v>305</v>
      </c>
      <c r="D53" s="19">
        <v>2015</v>
      </c>
      <c r="E53" s="19">
        <v>2022</v>
      </c>
      <c r="F53" s="19" t="s">
        <v>306</v>
      </c>
      <c r="G53" s="19" t="s">
        <v>307</v>
      </c>
      <c r="H53" s="19" t="s">
        <v>308</v>
      </c>
      <c r="I53" s="19" t="s">
        <v>64</v>
      </c>
      <c r="J53" s="20">
        <v>308</v>
      </c>
      <c r="K53" s="21">
        <f t="shared" si="0"/>
        <v>2015</v>
      </c>
      <c r="L53" s="21">
        <f t="shared" si="0"/>
        <v>2022</v>
      </c>
      <c r="M53" s="21">
        <f t="shared" si="1"/>
        <v>7</v>
      </c>
      <c r="N53" s="22" t="s">
        <v>38</v>
      </c>
      <c r="O53" s="22" t="s">
        <v>220</v>
      </c>
      <c r="P53" s="22" t="s">
        <v>49</v>
      </c>
      <c r="Q53" s="23">
        <v>1000</v>
      </c>
      <c r="R53" s="24">
        <v>970</v>
      </c>
      <c r="S53" s="20">
        <v>0</v>
      </c>
      <c r="T53" s="20">
        <v>0</v>
      </c>
      <c r="U53" s="20">
        <v>0</v>
      </c>
      <c r="V53" s="20">
        <v>36</v>
      </c>
      <c r="W53" s="20">
        <v>0</v>
      </c>
      <c r="X53" s="20">
        <v>0</v>
      </c>
      <c r="Y53" s="25" t="str">
        <f t="shared" si="2"/>
        <v>n/a</v>
      </c>
      <c r="Z53" s="25" t="str">
        <f t="shared" si="2"/>
        <v>n/a</v>
      </c>
      <c r="AA53" s="26" t="str">
        <f t="shared" si="3"/>
        <v>n/a</v>
      </c>
      <c r="AB53" s="27">
        <v>3.5</v>
      </c>
      <c r="AC53" s="28">
        <v>95</v>
      </c>
      <c r="AD53" s="28">
        <v>100</v>
      </c>
      <c r="AE53" s="29">
        <v>0.2</v>
      </c>
    </row>
    <row r="54" spans="1:31" ht="37.950000000000003" customHeight="1" x14ac:dyDescent="0.3">
      <c r="A54" s="6">
        <v>51</v>
      </c>
      <c r="B54" s="7" t="s">
        <v>309</v>
      </c>
      <c r="C54" s="7" t="s">
        <v>310</v>
      </c>
      <c r="D54" s="7">
        <v>2015</v>
      </c>
      <c r="E54" s="7">
        <v>2024</v>
      </c>
      <c r="F54" s="7" t="s">
        <v>311</v>
      </c>
      <c r="G54" s="7" t="s">
        <v>312</v>
      </c>
      <c r="H54" s="7" t="s">
        <v>313</v>
      </c>
      <c r="I54" s="7" t="s">
        <v>64</v>
      </c>
      <c r="J54" s="8">
        <v>160</v>
      </c>
      <c r="K54" s="9">
        <f t="shared" si="0"/>
        <v>2015</v>
      </c>
      <c r="L54" s="9">
        <f t="shared" si="0"/>
        <v>2024</v>
      </c>
      <c r="M54" s="9">
        <f t="shared" si="1"/>
        <v>9</v>
      </c>
      <c r="N54" s="10" t="s">
        <v>56</v>
      </c>
      <c r="O54" s="10" t="s">
        <v>57</v>
      </c>
      <c r="P54" s="10" t="s">
        <v>49</v>
      </c>
      <c r="Q54" s="11">
        <v>2500</v>
      </c>
      <c r="R54" s="12">
        <v>800</v>
      </c>
      <c r="S54" s="8">
        <v>90</v>
      </c>
      <c r="T54" s="8">
        <v>50</v>
      </c>
      <c r="U54" s="8">
        <v>0</v>
      </c>
      <c r="V54" s="8">
        <v>40</v>
      </c>
      <c r="W54" s="8">
        <v>65</v>
      </c>
      <c r="X54" s="8">
        <v>0</v>
      </c>
      <c r="Y54" s="13">
        <f t="shared" si="2"/>
        <v>-0.44444444444444442</v>
      </c>
      <c r="Z54" s="13">
        <f t="shared" si="2"/>
        <v>-1</v>
      </c>
      <c r="AA54" s="14">
        <f t="shared" si="3"/>
        <v>1.3</v>
      </c>
      <c r="AB54" s="15">
        <v>5.5</v>
      </c>
      <c r="AC54" s="16">
        <v>70</v>
      </c>
      <c r="AD54" s="16">
        <v>95</v>
      </c>
      <c r="AE54" s="17">
        <v>0.1</v>
      </c>
    </row>
    <row r="55" spans="1:31" ht="37.950000000000003" customHeight="1" x14ac:dyDescent="0.3">
      <c r="A55" s="18">
        <v>52</v>
      </c>
      <c r="B55" s="19" t="s">
        <v>314</v>
      </c>
      <c r="C55" s="19" t="s">
        <v>315</v>
      </c>
      <c r="D55" s="19">
        <v>2015</v>
      </c>
      <c r="E55" s="19">
        <v>2024</v>
      </c>
      <c r="F55" s="19" t="s">
        <v>316</v>
      </c>
      <c r="G55" s="19" t="s">
        <v>317</v>
      </c>
      <c r="H55" s="19" t="s">
        <v>318</v>
      </c>
      <c r="I55" s="19" t="s">
        <v>64</v>
      </c>
      <c r="J55" s="20">
        <v>90</v>
      </c>
      <c r="K55" s="21">
        <f t="shared" si="0"/>
        <v>2015</v>
      </c>
      <c r="L55" s="21">
        <f t="shared" si="0"/>
        <v>2024</v>
      </c>
      <c r="M55" s="21">
        <f t="shared" si="1"/>
        <v>9</v>
      </c>
      <c r="N55" s="22" t="s">
        <v>38</v>
      </c>
      <c r="O55" s="22" t="s">
        <v>48</v>
      </c>
      <c r="P55" s="22" t="s">
        <v>40</v>
      </c>
      <c r="Q55" s="23">
        <v>800</v>
      </c>
      <c r="R55" s="24">
        <v>350</v>
      </c>
      <c r="S55" s="20">
        <v>20</v>
      </c>
      <c r="T55" s="20">
        <v>12</v>
      </c>
      <c r="U55" s="20">
        <v>4</v>
      </c>
      <c r="V55" s="20">
        <v>18</v>
      </c>
      <c r="W55" s="20">
        <v>25</v>
      </c>
      <c r="X55" s="20">
        <v>8</v>
      </c>
      <c r="Y55" s="25">
        <f t="shared" si="2"/>
        <v>-0.4</v>
      </c>
      <c r="Z55" s="25">
        <f t="shared" si="2"/>
        <v>-0.66666666666666663</v>
      </c>
      <c r="AA55" s="26">
        <f t="shared" si="3"/>
        <v>2.0833333333333335</v>
      </c>
      <c r="AB55" s="27">
        <v>2.1</v>
      </c>
      <c r="AC55" s="28">
        <v>70</v>
      </c>
      <c r="AD55" s="28">
        <v>95</v>
      </c>
      <c r="AE55" s="29">
        <v>0.5</v>
      </c>
    </row>
    <row r="56" spans="1:31" ht="37.950000000000003" customHeight="1" x14ac:dyDescent="0.3">
      <c r="A56" s="6">
        <v>53</v>
      </c>
      <c r="B56" s="7" t="s">
        <v>319</v>
      </c>
      <c r="C56" s="7" t="s">
        <v>320</v>
      </c>
      <c r="D56" s="7">
        <v>2020</v>
      </c>
      <c r="E56" s="7">
        <v>2024</v>
      </c>
      <c r="F56" s="7" t="s">
        <v>321</v>
      </c>
      <c r="G56" s="7" t="s">
        <v>322</v>
      </c>
      <c r="H56" s="7" t="s">
        <v>323</v>
      </c>
      <c r="I56" s="7" t="s">
        <v>64</v>
      </c>
      <c r="J56" s="8">
        <v>17</v>
      </c>
      <c r="K56" s="9">
        <f t="shared" si="0"/>
        <v>2020</v>
      </c>
      <c r="L56" s="9">
        <f t="shared" si="0"/>
        <v>2024</v>
      </c>
      <c r="M56" s="9">
        <f t="shared" si="1"/>
        <v>4</v>
      </c>
      <c r="N56" s="10" t="s">
        <v>38</v>
      </c>
      <c r="O56" s="10" t="s">
        <v>78</v>
      </c>
      <c r="P56" s="10" t="s">
        <v>272</v>
      </c>
      <c r="Q56" s="11">
        <v>200</v>
      </c>
      <c r="R56" s="12">
        <v>200</v>
      </c>
      <c r="S56" s="8">
        <v>2</v>
      </c>
      <c r="T56" s="8">
        <v>1.5</v>
      </c>
      <c r="U56" s="8">
        <v>0</v>
      </c>
      <c r="V56" s="8">
        <v>4</v>
      </c>
      <c r="W56" s="8">
        <v>5</v>
      </c>
      <c r="X56" s="8">
        <v>0</v>
      </c>
      <c r="Y56" s="13">
        <f t="shared" si="2"/>
        <v>-0.25</v>
      </c>
      <c r="Z56" s="13">
        <f t="shared" si="2"/>
        <v>-1</v>
      </c>
      <c r="AA56" s="14">
        <f t="shared" si="3"/>
        <v>3.3333333333333335</v>
      </c>
      <c r="AB56" s="15">
        <v>0.4</v>
      </c>
      <c r="AC56" s="16">
        <v>80</v>
      </c>
      <c r="AD56" s="16">
        <v>85</v>
      </c>
      <c r="AE56" s="17">
        <v>1</v>
      </c>
    </row>
    <row r="57" spans="1:31" ht="37.950000000000003" customHeight="1" x14ac:dyDescent="0.3">
      <c r="A57" s="18">
        <v>54</v>
      </c>
      <c r="B57" s="19" t="s">
        <v>324</v>
      </c>
      <c r="C57" s="19" t="s">
        <v>325</v>
      </c>
      <c r="D57" s="19">
        <v>2020</v>
      </c>
      <c r="E57" s="19">
        <v>2024</v>
      </c>
      <c r="F57" s="19" t="s">
        <v>89</v>
      </c>
      <c r="G57" s="19" t="s">
        <v>297</v>
      </c>
      <c r="H57" s="19" t="s">
        <v>326</v>
      </c>
      <c r="I57" s="19" t="s">
        <v>64</v>
      </c>
      <c r="J57" s="20">
        <v>3</v>
      </c>
      <c r="K57" s="21">
        <f t="shared" si="0"/>
        <v>2020</v>
      </c>
      <c r="L57" s="21">
        <f t="shared" si="0"/>
        <v>2024</v>
      </c>
      <c r="M57" s="21">
        <f t="shared" si="1"/>
        <v>4</v>
      </c>
      <c r="N57" s="22" t="s">
        <v>38</v>
      </c>
      <c r="O57" s="22" t="s">
        <v>93</v>
      </c>
      <c r="P57" s="22" t="s">
        <v>40</v>
      </c>
      <c r="Q57" s="23">
        <v>40</v>
      </c>
      <c r="R57" s="24">
        <v>15</v>
      </c>
      <c r="S57" s="20">
        <v>0.3</v>
      </c>
      <c r="T57" s="20">
        <v>0.2</v>
      </c>
      <c r="U57" s="20">
        <v>0</v>
      </c>
      <c r="V57" s="20">
        <v>1</v>
      </c>
      <c r="W57" s="20">
        <v>1.5</v>
      </c>
      <c r="X57" s="20">
        <v>0</v>
      </c>
      <c r="Y57" s="25">
        <f t="shared" si="2"/>
        <v>-0.33333333333333326</v>
      </c>
      <c r="Z57" s="25">
        <f t="shared" si="2"/>
        <v>-1</v>
      </c>
      <c r="AA57" s="26">
        <f t="shared" si="3"/>
        <v>7.5</v>
      </c>
      <c r="AB57" s="27">
        <v>0.12</v>
      </c>
      <c r="AC57" s="28">
        <v>60</v>
      </c>
      <c r="AD57" s="28">
        <v>100</v>
      </c>
      <c r="AE57" s="29">
        <v>0.02</v>
      </c>
    </row>
    <row r="58" spans="1:31" ht="37.950000000000003" customHeight="1" x14ac:dyDescent="0.3">
      <c r="A58" s="6">
        <v>55</v>
      </c>
      <c r="B58" s="7" t="s">
        <v>327</v>
      </c>
      <c r="C58" s="7" t="s">
        <v>328</v>
      </c>
      <c r="D58" s="7">
        <v>2021</v>
      </c>
      <c r="E58" s="7">
        <v>2024</v>
      </c>
      <c r="F58" s="7" t="s">
        <v>296</v>
      </c>
      <c r="G58" s="7" t="s">
        <v>149</v>
      </c>
      <c r="H58" s="7" t="s">
        <v>329</v>
      </c>
      <c r="I58" s="7" t="s">
        <v>64</v>
      </c>
      <c r="J58" s="8">
        <v>1.5</v>
      </c>
      <c r="K58" s="9">
        <f t="shared" si="0"/>
        <v>2021</v>
      </c>
      <c r="L58" s="9">
        <f t="shared" si="0"/>
        <v>2024</v>
      </c>
      <c r="M58" s="9">
        <f t="shared" si="1"/>
        <v>3</v>
      </c>
      <c r="N58" s="10" t="s">
        <v>38</v>
      </c>
      <c r="O58" s="10" t="s">
        <v>93</v>
      </c>
      <c r="P58" s="10" t="s">
        <v>79</v>
      </c>
      <c r="Q58" s="11">
        <v>20</v>
      </c>
      <c r="R58" s="12">
        <v>6</v>
      </c>
      <c r="S58" s="8">
        <v>0.05</v>
      </c>
      <c r="T58" s="8">
        <v>0.02</v>
      </c>
      <c r="U58" s="8">
        <v>0</v>
      </c>
      <c r="V58" s="8">
        <v>0.3</v>
      </c>
      <c r="W58" s="8">
        <v>0.5</v>
      </c>
      <c r="X58" s="8">
        <v>0</v>
      </c>
      <c r="Y58" s="13">
        <f t="shared" si="2"/>
        <v>-0.6</v>
      </c>
      <c r="Z58" s="13">
        <f t="shared" si="2"/>
        <v>-1</v>
      </c>
      <c r="AA58" s="14">
        <f t="shared" si="3"/>
        <v>25</v>
      </c>
      <c r="AB58" s="15">
        <v>0.04</v>
      </c>
      <c r="AC58" s="16">
        <v>60</v>
      </c>
      <c r="AD58" s="16">
        <v>100</v>
      </c>
      <c r="AE58" s="17">
        <v>0.05</v>
      </c>
    </row>
    <row r="59" spans="1:31" ht="37.950000000000003" customHeight="1" x14ac:dyDescent="0.3">
      <c r="A59" s="18">
        <v>56</v>
      </c>
      <c r="B59" s="19" t="s">
        <v>330</v>
      </c>
      <c r="C59" s="19" t="s">
        <v>331</v>
      </c>
      <c r="D59" s="19">
        <v>2017</v>
      </c>
      <c r="E59" s="19">
        <v>2023</v>
      </c>
      <c r="F59" s="19" t="s">
        <v>332</v>
      </c>
      <c r="G59" s="19" t="s">
        <v>333</v>
      </c>
      <c r="H59" s="19" t="s">
        <v>334</v>
      </c>
      <c r="I59" s="19" t="s">
        <v>64</v>
      </c>
      <c r="J59" s="20">
        <v>67</v>
      </c>
      <c r="K59" s="21">
        <f t="shared" si="0"/>
        <v>2017</v>
      </c>
      <c r="L59" s="21">
        <f t="shared" si="0"/>
        <v>2023</v>
      </c>
      <c r="M59" s="21">
        <f t="shared" si="1"/>
        <v>6</v>
      </c>
      <c r="N59" s="22" t="s">
        <v>38</v>
      </c>
      <c r="O59" s="22" t="s">
        <v>48</v>
      </c>
      <c r="P59" s="22" t="s">
        <v>49</v>
      </c>
      <c r="Q59" s="23">
        <v>350</v>
      </c>
      <c r="R59" s="24">
        <v>200</v>
      </c>
      <c r="S59" s="20">
        <v>8</v>
      </c>
      <c r="T59" s="20">
        <v>3</v>
      </c>
      <c r="U59" s="20">
        <v>0</v>
      </c>
      <c r="V59" s="20">
        <v>25</v>
      </c>
      <c r="W59" s="20">
        <v>35</v>
      </c>
      <c r="X59" s="20">
        <v>0</v>
      </c>
      <c r="Y59" s="25">
        <f t="shared" si="2"/>
        <v>-0.625</v>
      </c>
      <c r="Z59" s="25">
        <f t="shared" si="2"/>
        <v>-1</v>
      </c>
      <c r="AA59" s="26">
        <f t="shared" si="3"/>
        <v>11.666666666666666</v>
      </c>
      <c r="AB59" s="27">
        <v>2.5</v>
      </c>
      <c r="AC59" s="28">
        <v>85</v>
      </c>
      <c r="AD59" s="28">
        <v>100</v>
      </c>
      <c r="AE59" s="29">
        <v>5</v>
      </c>
    </row>
    <row r="60" spans="1:31" ht="37.950000000000003" customHeight="1" x14ac:dyDescent="0.3">
      <c r="A60" s="6">
        <v>57</v>
      </c>
      <c r="B60" s="7" t="s">
        <v>335</v>
      </c>
      <c r="C60" s="7" t="s">
        <v>336</v>
      </c>
      <c r="D60" s="7">
        <v>2023</v>
      </c>
      <c r="E60" s="7">
        <v>2025</v>
      </c>
      <c r="F60" s="7" t="s">
        <v>337</v>
      </c>
      <c r="G60" s="7" t="s">
        <v>338</v>
      </c>
      <c r="H60" s="7" t="s">
        <v>339</v>
      </c>
      <c r="I60" s="7" t="s">
        <v>64</v>
      </c>
      <c r="J60" s="8">
        <v>4</v>
      </c>
      <c r="K60" s="9">
        <f t="shared" si="0"/>
        <v>2023</v>
      </c>
      <c r="L60" s="9">
        <f t="shared" si="0"/>
        <v>2025</v>
      </c>
      <c r="M60" s="9">
        <f t="shared" si="1"/>
        <v>2</v>
      </c>
      <c r="N60" s="10" t="s">
        <v>47</v>
      </c>
      <c r="O60" s="10" t="s">
        <v>93</v>
      </c>
      <c r="P60" s="10" t="s">
        <v>86</v>
      </c>
      <c r="Q60" s="11">
        <v>50</v>
      </c>
      <c r="R60" s="12">
        <v>20</v>
      </c>
      <c r="S60" s="8">
        <v>0</v>
      </c>
      <c r="T60" s="8">
        <v>0.5</v>
      </c>
      <c r="U60" s="8">
        <v>0.2</v>
      </c>
      <c r="V60" s="8">
        <v>0.5</v>
      </c>
      <c r="W60" s="8">
        <v>2</v>
      </c>
      <c r="X60" s="8">
        <v>1.5</v>
      </c>
      <c r="Y60" s="13" t="str">
        <f t="shared" si="2"/>
        <v>n/a</v>
      </c>
      <c r="Z60" s="13">
        <f t="shared" si="2"/>
        <v>-0.6</v>
      </c>
      <c r="AA60" s="14">
        <f t="shared" si="3"/>
        <v>4</v>
      </c>
      <c r="AB60" s="15">
        <v>0.2</v>
      </c>
      <c r="AC60" s="16">
        <v>75</v>
      </c>
      <c r="AD60" s="16">
        <v>100</v>
      </c>
      <c r="AE60" s="17">
        <v>0.2</v>
      </c>
    </row>
    <row r="61" spans="1:31" ht="37.950000000000003" customHeight="1" x14ac:dyDescent="0.3">
      <c r="A61" s="18">
        <v>58</v>
      </c>
      <c r="B61" s="19" t="s">
        <v>340</v>
      </c>
      <c r="C61" s="19" t="s">
        <v>341</v>
      </c>
      <c r="D61" s="19">
        <v>2022</v>
      </c>
      <c r="E61" s="19">
        <v>2025</v>
      </c>
      <c r="F61" s="19" t="s">
        <v>342</v>
      </c>
      <c r="G61" s="19" t="s">
        <v>343</v>
      </c>
      <c r="H61" s="19" t="s">
        <v>344</v>
      </c>
      <c r="I61" s="19" t="s">
        <v>64</v>
      </c>
      <c r="J61" s="20">
        <v>3.5</v>
      </c>
      <c r="K61" s="21">
        <f t="shared" si="0"/>
        <v>2022</v>
      </c>
      <c r="L61" s="21">
        <f t="shared" si="0"/>
        <v>2025</v>
      </c>
      <c r="M61" s="21">
        <f t="shared" si="1"/>
        <v>3</v>
      </c>
      <c r="N61" s="22" t="s">
        <v>38</v>
      </c>
      <c r="O61" s="22" t="s">
        <v>93</v>
      </c>
      <c r="P61" s="22" t="s">
        <v>79</v>
      </c>
      <c r="Q61" s="23">
        <v>30</v>
      </c>
      <c r="R61" s="24">
        <v>15</v>
      </c>
      <c r="S61" s="20">
        <v>0.05</v>
      </c>
      <c r="T61" s="20">
        <v>0.1</v>
      </c>
      <c r="U61" s="20">
        <v>0.05</v>
      </c>
      <c r="V61" s="20">
        <v>0.5</v>
      </c>
      <c r="W61" s="20">
        <v>1</v>
      </c>
      <c r="X61" s="20">
        <v>0.6</v>
      </c>
      <c r="Y61" s="25">
        <f t="shared" si="2"/>
        <v>1</v>
      </c>
      <c r="Z61" s="25">
        <f t="shared" si="2"/>
        <v>-0.5</v>
      </c>
      <c r="AA61" s="26">
        <f t="shared" si="3"/>
        <v>10</v>
      </c>
      <c r="AB61" s="27">
        <v>7.0000000000000007E-2</v>
      </c>
      <c r="AC61" s="28">
        <v>60</v>
      </c>
      <c r="AD61" s="28">
        <v>100</v>
      </c>
      <c r="AE61" s="29">
        <v>0.01</v>
      </c>
    </row>
    <row r="62" spans="1:31" ht="37.950000000000003" customHeight="1" x14ac:dyDescent="0.3">
      <c r="A62" s="6">
        <v>59</v>
      </c>
      <c r="B62" s="7" t="s">
        <v>345</v>
      </c>
      <c r="C62" s="7" t="s">
        <v>346</v>
      </c>
      <c r="D62" s="7">
        <v>2019</v>
      </c>
      <c r="E62" s="7">
        <v>2023</v>
      </c>
      <c r="F62" s="7" t="s">
        <v>347</v>
      </c>
      <c r="G62" s="7" t="s">
        <v>348</v>
      </c>
      <c r="H62" s="7" t="s">
        <v>349</v>
      </c>
      <c r="I62" s="7" t="s">
        <v>350</v>
      </c>
      <c r="J62" s="8">
        <v>8</v>
      </c>
      <c r="K62" s="9">
        <f t="shared" si="0"/>
        <v>2019</v>
      </c>
      <c r="L62" s="9">
        <f t="shared" si="0"/>
        <v>2023</v>
      </c>
      <c r="M62" s="9">
        <f t="shared" si="1"/>
        <v>4</v>
      </c>
      <c r="N62" s="10" t="s">
        <v>56</v>
      </c>
      <c r="O62" s="10" t="s">
        <v>78</v>
      </c>
      <c r="P62" s="10" t="s">
        <v>58</v>
      </c>
      <c r="Q62" s="11">
        <v>100</v>
      </c>
      <c r="R62" s="12">
        <v>30</v>
      </c>
      <c r="S62" s="8">
        <v>0.5</v>
      </c>
      <c r="T62" s="8">
        <v>0.3</v>
      </c>
      <c r="U62" s="8">
        <v>0</v>
      </c>
      <c r="V62" s="8">
        <v>1.5</v>
      </c>
      <c r="W62" s="8">
        <v>2.5</v>
      </c>
      <c r="X62" s="8">
        <v>0</v>
      </c>
      <c r="Y62" s="13">
        <f t="shared" si="2"/>
        <v>-0.4</v>
      </c>
      <c r="Z62" s="13">
        <f t="shared" si="2"/>
        <v>-1</v>
      </c>
      <c r="AA62" s="14">
        <f t="shared" si="3"/>
        <v>8.3333333333333339</v>
      </c>
      <c r="AB62" s="15">
        <v>0.2</v>
      </c>
      <c r="AC62" s="16">
        <v>75</v>
      </c>
      <c r="AD62" s="16">
        <v>100</v>
      </c>
      <c r="AE62" s="17">
        <v>0.05</v>
      </c>
    </row>
    <row r="63" spans="1:31" ht="37.950000000000003" customHeight="1" x14ac:dyDescent="0.3">
      <c r="A63" s="18">
        <v>60</v>
      </c>
      <c r="B63" s="19" t="s">
        <v>351</v>
      </c>
      <c r="C63" s="19" t="s">
        <v>352</v>
      </c>
      <c r="D63" s="19">
        <v>2017</v>
      </c>
      <c r="E63" s="19">
        <v>2022</v>
      </c>
      <c r="F63" s="19" t="s">
        <v>353</v>
      </c>
      <c r="G63" s="19" t="s">
        <v>354</v>
      </c>
      <c r="H63" s="19" t="s">
        <v>355</v>
      </c>
      <c r="I63" s="19" t="s">
        <v>64</v>
      </c>
      <c r="J63" s="20">
        <v>85</v>
      </c>
      <c r="K63" s="21">
        <f t="shared" si="0"/>
        <v>2017</v>
      </c>
      <c r="L63" s="21">
        <f t="shared" si="0"/>
        <v>2022</v>
      </c>
      <c r="M63" s="21">
        <f t="shared" si="1"/>
        <v>5</v>
      </c>
      <c r="N63" s="22" t="s">
        <v>38</v>
      </c>
      <c r="O63" s="22" t="s">
        <v>116</v>
      </c>
      <c r="P63" s="22" t="s">
        <v>40</v>
      </c>
      <c r="Q63" s="23">
        <v>600</v>
      </c>
      <c r="R63" s="24">
        <v>260</v>
      </c>
      <c r="S63" s="20">
        <v>6</v>
      </c>
      <c r="T63" s="20">
        <v>4</v>
      </c>
      <c r="U63" s="20">
        <v>0</v>
      </c>
      <c r="V63" s="20">
        <v>16</v>
      </c>
      <c r="W63" s="20">
        <v>22</v>
      </c>
      <c r="X63" s="20">
        <v>0</v>
      </c>
      <c r="Y63" s="25">
        <f t="shared" si="2"/>
        <v>-0.33333333333333331</v>
      </c>
      <c r="Z63" s="25">
        <f t="shared" si="2"/>
        <v>-1</v>
      </c>
      <c r="AA63" s="26">
        <f t="shared" si="3"/>
        <v>5.5</v>
      </c>
      <c r="AB63" s="27">
        <v>1.8</v>
      </c>
      <c r="AC63" s="28">
        <v>80</v>
      </c>
      <c r="AD63" s="28">
        <v>100</v>
      </c>
      <c r="AE63" s="29">
        <v>2.5</v>
      </c>
    </row>
    <row r="64" spans="1:31" ht="37.950000000000003" customHeight="1" x14ac:dyDescent="0.3">
      <c r="A64" s="6">
        <v>61</v>
      </c>
      <c r="B64" s="7" t="s">
        <v>356</v>
      </c>
      <c r="C64" s="7" t="s">
        <v>357</v>
      </c>
      <c r="D64" s="7">
        <v>2021</v>
      </c>
      <c r="E64" s="7">
        <v>2023</v>
      </c>
      <c r="F64" s="7" t="s">
        <v>358</v>
      </c>
      <c r="G64" s="7" t="s">
        <v>359</v>
      </c>
      <c r="H64" s="7" t="s">
        <v>360</v>
      </c>
      <c r="I64" s="7" t="s">
        <v>64</v>
      </c>
      <c r="J64" s="8">
        <v>300</v>
      </c>
      <c r="K64" s="9">
        <f t="shared" si="0"/>
        <v>2021</v>
      </c>
      <c r="L64" s="9">
        <f t="shared" si="0"/>
        <v>2023</v>
      </c>
      <c r="M64" s="9">
        <f t="shared" si="1"/>
        <v>2</v>
      </c>
      <c r="N64" s="10" t="s">
        <v>38</v>
      </c>
      <c r="O64" s="10" t="s">
        <v>220</v>
      </c>
      <c r="P64" s="10" t="s">
        <v>195</v>
      </c>
      <c r="Q64" s="11">
        <v>200</v>
      </c>
      <c r="R64" s="12">
        <v>1000</v>
      </c>
      <c r="S64" s="8">
        <v>30</v>
      </c>
      <c r="T64" s="8">
        <v>15</v>
      </c>
      <c r="U64" s="8">
        <v>5</v>
      </c>
      <c r="V64" s="8">
        <v>45</v>
      </c>
      <c r="W64" s="8">
        <v>70</v>
      </c>
      <c r="X64" s="8">
        <v>30</v>
      </c>
      <c r="Y64" s="13">
        <f t="shared" si="2"/>
        <v>-0.5</v>
      </c>
      <c r="Z64" s="13">
        <f t="shared" si="2"/>
        <v>-0.66666666666666663</v>
      </c>
      <c r="AA64" s="14">
        <f t="shared" si="3"/>
        <v>4.666666666666667</v>
      </c>
      <c r="AB64" s="15">
        <v>5.5</v>
      </c>
      <c r="AC64" s="16">
        <v>70</v>
      </c>
      <c r="AD64" s="16">
        <v>60</v>
      </c>
      <c r="AE64" s="17">
        <v>1</v>
      </c>
    </row>
    <row r="65" spans="1:31" ht="37.950000000000003" customHeight="1" x14ac:dyDescent="0.3">
      <c r="A65" s="18">
        <v>62</v>
      </c>
      <c r="B65" s="19" t="s">
        <v>361</v>
      </c>
      <c r="C65" s="19" t="s">
        <v>362</v>
      </c>
      <c r="D65" s="19">
        <v>2012</v>
      </c>
      <c r="E65" s="19">
        <v>2024</v>
      </c>
      <c r="F65" s="19" t="s">
        <v>363</v>
      </c>
      <c r="G65" s="19" t="s">
        <v>364</v>
      </c>
      <c r="H65" s="19" t="s">
        <v>365</v>
      </c>
      <c r="I65" s="19" t="s">
        <v>366</v>
      </c>
      <c r="J65" s="20">
        <v>140</v>
      </c>
      <c r="K65" s="21">
        <f t="shared" si="0"/>
        <v>2012</v>
      </c>
      <c r="L65" s="21">
        <f t="shared" si="0"/>
        <v>2024</v>
      </c>
      <c r="M65" s="21">
        <f t="shared" si="1"/>
        <v>12</v>
      </c>
      <c r="N65" s="22" t="s">
        <v>38</v>
      </c>
      <c r="O65" s="22" t="s">
        <v>65</v>
      </c>
      <c r="P65" s="22" t="s">
        <v>58</v>
      </c>
      <c r="Q65" s="23">
        <v>600</v>
      </c>
      <c r="R65" s="24">
        <v>290</v>
      </c>
      <c r="S65" s="20">
        <v>18</v>
      </c>
      <c r="T65" s="20">
        <v>12</v>
      </c>
      <c r="U65" s="20">
        <v>0</v>
      </c>
      <c r="V65" s="20">
        <v>12</v>
      </c>
      <c r="W65" s="20">
        <v>18</v>
      </c>
      <c r="X65" s="20">
        <v>0</v>
      </c>
      <c r="Y65" s="25">
        <f t="shared" si="2"/>
        <v>-0.33333333333333331</v>
      </c>
      <c r="Z65" s="25">
        <f t="shared" si="2"/>
        <v>-1</v>
      </c>
      <c r="AA65" s="26">
        <f t="shared" si="3"/>
        <v>1.5</v>
      </c>
      <c r="AB65" s="27">
        <v>1.5</v>
      </c>
      <c r="AC65" s="28">
        <v>60</v>
      </c>
      <c r="AD65" s="28">
        <v>70</v>
      </c>
      <c r="AE65" s="29">
        <v>0.5</v>
      </c>
    </row>
    <row r="66" spans="1:31" ht="37.950000000000003" customHeight="1" x14ac:dyDescent="0.3">
      <c r="A66" s="6">
        <v>63</v>
      </c>
      <c r="B66" s="7" t="s">
        <v>367</v>
      </c>
      <c r="C66" s="7" t="s">
        <v>368</v>
      </c>
      <c r="D66" s="7">
        <v>2020</v>
      </c>
      <c r="E66" s="7">
        <v>2023</v>
      </c>
      <c r="F66" s="7" t="s">
        <v>369</v>
      </c>
      <c r="G66" s="7" t="s">
        <v>370</v>
      </c>
      <c r="H66" s="7" t="s">
        <v>371</v>
      </c>
      <c r="I66" s="7" t="s">
        <v>366</v>
      </c>
      <c r="J66" s="8">
        <v>10.4</v>
      </c>
      <c r="K66" s="9">
        <f t="shared" si="0"/>
        <v>2020</v>
      </c>
      <c r="L66" s="9">
        <f t="shared" si="0"/>
        <v>2023</v>
      </c>
      <c r="M66" s="9">
        <f t="shared" si="1"/>
        <v>3</v>
      </c>
      <c r="N66" s="10" t="s">
        <v>38</v>
      </c>
      <c r="O66" s="10" t="s">
        <v>78</v>
      </c>
      <c r="P66" s="10" t="s">
        <v>195</v>
      </c>
      <c r="Q66" s="11">
        <v>100</v>
      </c>
      <c r="R66" s="12">
        <v>40</v>
      </c>
      <c r="S66" s="8">
        <v>0.5</v>
      </c>
      <c r="T66" s="8">
        <v>0.3</v>
      </c>
      <c r="U66" s="8">
        <v>0</v>
      </c>
      <c r="V66" s="8">
        <v>2</v>
      </c>
      <c r="W66" s="8">
        <v>3</v>
      </c>
      <c r="X66" s="8">
        <v>0</v>
      </c>
      <c r="Y66" s="13">
        <f t="shared" si="2"/>
        <v>-0.4</v>
      </c>
      <c r="Z66" s="13">
        <f t="shared" si="2"/>
        <v>-1</v>
      </c>
      <c r="AA66" s="14">
        <f t="shared" si="3"/>
        <v>10</v>
      </c>
      <c r="AB66" s="15">
        <v>0.25</v>
      </c>
      <c r="AC66" s="16">
        <v>75</v>
      </c>
      <c r="AD66" s="16">
        <v>100</v>
      </c>
      <c r="AE66" s="17">
        <v>0.3</v>
      </c>
    </row>
    <row r="67" spans="1:31" ht="37.950000000000003" customHeight="1" x14ac:dyDescent="0.3">
      <c r="A67" s="18">
        <v>64</v>
      </c>
      <c r="B67" s="19" t="s">
        <v>372</v>
      </c>
      <c r="C67" s="19" t="s">
        <v>373</v>
      </c>
      <c r="D67" s="19">
        <v>2021</v>
      </c>
      <c r="E67" s="19">
        <v>2023</v>
      </c>
      <c r="F67" s="19" t="s">
        <v>135</v>
      </c>
      <c r="G67" s="19" t="s">
        <v>149</v>
      </c>
      <c r="H67" s="19" t="s">
        <v>374</v>
      </c>
      <c r="I67" s="19" t="s">
        <v>375</v>
      </c>
      <c r="J67" s="20">
        <v>0.5</v>
      </c>
      <c r="K67" s="21">
        <f t="shared" si="0"/>
        <v>2021</v>
      </c>
      <c r="L67" s="21">
        <f t="shared" si="0"/>
        <v>2023</v>
      </c>
      <c r="M67" s="21">
        <f t="shared" si="1"/>
        <v>2</v>
      </c>
      <c r="N67" s="22" t="s">
        <v>38</v>
      </c>
      <c r="O67" s="22" t="s">
        <v>93</v>
      </c>
      <c r="P67" s="22" t="s">
        <v>86</v>
      </c>
      <c r="Q67" s="23">
        <v>20</v>
      </c>
      <c r="R67" s="24">
        <v>3</v>
      </c>
      <c r="S67" s="20">
        <v>0.02</v>
      </c>
      <c r="T67" s="20">
        <v>0.01</v>
      </c>
      <c r="U67" s="20">
        <v>0</v>
      </c>
      <c r="V67" s="20">
        <v>0.1</v>
      </c>
      <c r="W67" s="20">
        <v>0.15</v>
      </c>
      <c r="X67" s="20">
        <v>0</v>
      </c>
      <c r="Y67" s="25">
        <f t="shared" si="2"/>
        <v>-0.5</v>
      </c>
      <c r="Z67" s="25">
        <f t="shared" si="2"/>
        <v>-1</v>
      </c>
      <c r="AA67" s="26">
        <f t="shared" si="3"/>
        <v>15</v>
      </c>
      <c r="AB67" s="27">
        <v>0.02</v>
      </c>
      <c r="AC67" s="28">
        <v>50</v>
      </c>
      <c r="AD67" s="28">
        <v>100</v>
      </c>
      <c r="AE67" s="29">
        <v>0.05</v>
      </c>
    </row>
    <row r="68" spans="1:31" ht="37.950000000000003" customHeight="1" x14ac:dyDescent="0.3">
      <c r="A68" s="6">
        <v>65</v>
      </c>
      <c r="B68" s="7" t="s">
        <v>376</v>
      </c>
      <c r="C68" s="7" t="s">
        <v>377</v>
      </c>
      <c r="D68" s="7">
        <v>2021</v>
      </c>
      <c r="E68" s="7">
        <v>2023</v>
      </c>
      <c r="F68" s="7" t="s">
        <v>378</v>
      </c>
      <c r="G68" s="7" t="s">
        <v>379</v>
      </c>
      <c r="H68" s="7" t="s">
        <v>380</v>
      </c>
      <c r="I68" s="7" t="s">
        <v>375</v>
      </c>
      <c r="J68" s="8">
        <v>1</v>
      </c>
      <c r="K68" s="9">
        <f t="shared" si="0"/>
        <v>2021</v>
      </c>
      <c r="L68" s="9">
        <f t="shared" si="0"/>
        <v>2023</v>
      </c>
      <c r="M68" s="9">
        <f t="shared" si="1"/>
        <v>2</v>
      </c>
      <c r="N68" s="10" t="s">
        <v>38</v>
      </c>
      <c r="O68" s="10" t="s">
        <v>93</v>
      </c>
      <c r="P68" s="10" t="s">
        <v>86</v>
      </c>
      <c r="Q68" s="11">
        <v>30</v>
      </c>
      <c r="R68" s="12">
        <v>5</v>
      </c>
      <c r="S68" s="8">
        <v>0.05</v>
      </c>
      <c r="T68" s="8">
        <v>0.02</v>
      </c>
      <c r="U68" s="8">
        <v>0</v>
      </c>
      <c r="V68" s="8">
        <v>0.2</v>
      </c>
      <c r="W68" s="8">
        <v>0.3</v>
      </c>
      <c r="X68" s="8">
        <v>0</v>
      </c>
      <c r="Y68" s="13">
        <f t="shared" si="2"/>
        <v>-0.6</v>
      </c>
      <c r="Z68" s="13">
        <f t="shared" si="2"/>
        <v>-1</v>
      </c>
      <c r="AA68" s="14">
        <f t="shared" si="3"/>
        <v>15</v>
      </c>
      <c r="AB68" s="15">
        <v>0.03</v>
      </c>
      <c r="AC68" s="16">
        <v>50</v>
      </c>
      <c r="AD68" s="16">
        <v>100</v>
      </c>
      <c r="AE68" s="17">
        <v>0.1</v>
      </c>
    </row>
    <row r="69" spans="1:31" ht="37.950000000000003" customHeight="1" x14ac:dyDescent="0.3">
      <c r="A69" s="18">
        <v>66</v>
      </c>
      <c r="B69" s="19" t="s">
        <v>381</v>
      </c>
      <c r="C69" s="19" t="s">
        <v>382</v>
      </c>
      <c r="D69" s="19">
        <v>2021</v>
      </c>
      <c r="E69" s="19">
        <v>2024</v>
      </c>
      <c r="F69" s="19" t="s">
        <v>383</v>
      </c>
      <c r="G69" s="19" t="s">
        <v>384</v>
      </c>
      <c r="H69" s="19" t="s">
        <v>385</v>
      </c>
      <c r="I69" s="19" t="s">
        <v>64</v>
      </c>
      <c r="J69" s="20">
        <v>80</v>
      </c>
      <c r="K69" s="21">
        <f t="shared" ref="K69:L186" si="4">D69</f>
        <v>2021</v>
      </c>
      <c r="L69" s="21">
        <f t="shared" si="4"/>
        <v>2024</v>
      </c>
      <c r="M69" s="21">
        <f t="shared" ref="M69:M186" si="5">L69-K69</f>
        <v>3</v>
      </c>
      <c r="N69" s="22" t="s">
        <v>38</v>
      </c>
      <c r="O69" s="22" t="s">
        <v>65</v>
      </c>
      <c r="P69" s="22" t="s">
        <v>272</v>
      </c>
      <c r="Q69" s="23">
        <v>150</v>
      </c>
      <c r="R69" s="24">
        <v>265</v>
      </c>
      <c r="S69" s="20">
        <v>5</v>
      </c>
      <c r="T69" s="20">
        <v>3</v>
      </c>
      <c r="U69" s="20">
        <v>0</v>
      </c>
      <c r="V69" s="20">
        <v>15</v>
      </c>
      <c r="W69" s="20">
        <v>18</v>
      </c>
      <c r="X69" s="20">
        <v>0</v>
      </c>
      <c r="Y69" s="25">
        <f t="shared" ref="Y69:Z132" si="6">IFERROR(IF(S69=0,"n/a",(T69-S69)/S69),"n/a")</f>
        <v>-0.4</v>
      </c>
      <c r="Z69" s="25">
        <f t="shared" si="6"/>
        <v>-1</v>
      </c>
      <c r="AA69" s="26">
        <f t="shared" ref="AA69:AA132" si="7">IFERROR(IF(T69=0,"n/a",W69/T69),"n/a")</f>
        <v>6</v>
      </c>
      <c r="AB69" s="27">
        <v>1.2</v>
      </c>
      <c r="AC69" s="28">
        <v>80</v>
      </c>
      <c r="AD69" s="28">
        <v>50</v>
      </c>
      <c r="AE69" s="29">
        <v>8</v>
      </c>
    </row>
    <row r="70" spans="1:31" ht="37.950000000000003" customHeight="1" x14ac:dyDescent="0.3">
      <c r="A70" s="6">
        <v>67</v>
      </c>
      <c r="B70" s="7" t="s">
        <v>386</v>
      </c>
      <c r="C70" s="7" t="s">
        <v>387</v>
      </c>
      <c r="D70" s="7">
        <v>2021</v>
      </c>
      <c r="E70" s="7">
        <v>2023</v>
      </c>
      <c r="F70" s="7" t="s">
        <v>388</v>
      </c>
      <c r="G70" s="7" t="s">
        <v>389</v>
      </c>
      <c r="H70" s="7" t="s">
        <v>390</v>
      </c>
      <c r="I70" s="7" t="s">
        <v>64</v>
      </c>
      <c r="J70" s="8">
        <v>1700</v>
      </c>
      <c r="K70" s="9">
        <f t="shared" si="4"/>
        <v>2021</v>
      </c>
      <c r="L70" s="9">
        <f t="shared" si="4"/>
        <v>2023</v>
      </c>
      <c r="M70" s="9">
        <f t="shared" si="5"/>
        <v>2</v>
      </c>
      <c r="N70" s="10" t="s">
        <v>38</v>
      </c>
      <c r="O70" s="10" t="s">
        <v>220</v>
      </c>
      <c r="P70" s="10" t="s">
        <v>195</v>
      </c>
      <c r="Q70" s="11">
        <v>2300</v>
      </c>
      <c r="R70" s="12">
        <v>5000</v>
      </c>
      <c r="S70" s="8">
        <v>90</v>
      </c>
      <c r="T70" s="8">
        <v>60</v>
      </c>
      <c r="U70" s="8">
        <v>30</v>
      </c>
      <c r="V70" s="8">
        <v>120</v>
      </c>
      <c r="W70" s="8">
        <v>65</v>
      </c>
      <c r="X70" s="8">
        <v>40</v>
      </c>
      <c r="Y70" s="13">
        <f t="shared" si="6"/>
        <v>-0.33333333333333331</v>
      </c>
      <c r="Z70" s="13">
        <f t="shared" si="6"/>
        <v>-0.5</v>
      </c>
      <c r="AA70" s="14">
        <f t="shared" si="7"/>
        <v>1.0833333333333333</v>
      </c>
      <c r="AB70" s="15">
        <v>8</v>
      </c>
      <c r="AC70" s="16">
        <v>50</v>
      </c>
      <c r="AD70" s="16">
        <v>40</v>
      </c>
      <c r="AE70" s="17">
        <v>180</v>
      </c>
    </row>
    <row r="71" spans="1:31" ht="37.950000000000003" customHeight="1" x14ac:dyDescent="0.3">
      <c r="A71" s="18">
        <v>68</v>
      </c>
      <c r="B71" s="19" t="s">
        <v>391</v>
      </c>
      <c r="C71" s="19" t="s">
        <v>387</v>
      </c>
      <c r="D71" s="19">
        <v>2021</v>
      </c>
      <c r="E71" s="19">
        <v>2023</v>
      </c>
      <c r="F71" s="19" t="s">
        <v>392</v>
      </c>
      <c r="G71" s="19" t="s">
        <v>149</v>
      </c>
      <c r="H71" s="19" t="s">
        <v>393</v>
      </c>
      <c r="I71" s="19" t="s">
        <v>64</v>
      </c>
      <c r="J71" s="20">
        <v>1</v>
      </c>
      <c r="K71" s="21">
        <f t="shared" si="4"/>
        <v>2021</v>
      </c>
      <c r="L71" s="21">
        <f t="shared" si="4"/>
        <v>2023</v>
      </c>
      <c r="M71" s="21">
        <f t="shared" si="5"/>
        <v>2</v>
      </c>
      <c r="N71" s="22" t="s">
        <v>38</v>
      </c>
      <c r="O71" s="22" t="s">
        <v>93</v>
      </c>
      <c r="P71" s="22" t="s">
        <v>79</v>
      </c>
      <c r="Q71" s="23">
        <v>15</v>
      </c>
      <c r="R71" s="24">
        <v>5</v>
      </c>
      <c r="S71" s="20">
        <v>0.01</v>
      </c>
      <c r="T71" s="20">
        <v>5.0000000000000001E-3</v>
      </c>
      <c r="U71" s="20">
        <v>0</v>
      </c>
      <c r="V71" s="20">
        <v>0.1</v>
      </c>
      <c r="W71" s="20">
        <v>0.2</v>
      </c>
      <c r="X71" s="20">
        <v>0</v>
      </c>
      <c r="Y71" s="25">
        <f t="shared" si="6"/>
        <v>-0.5</v>
      </c>
      <c r="Z71" s="25">
        <f t="shared" si="6"/>
        <v>-1</v>
      </c>
      <c r="AA71" s="26">
        <f t="shared" si="7"/>
        <v>40</v>
      </c>
      <c r="AB71" s="27">
        <v>0.02</v>
      </c>
      <c r="AC71" s="28">
        <v>50</v>
      </c>
      <c r="AD71" s="28">
        <v>100</v>
      </c>
      <c r="AE71" s="29">
        <v>0.05</v>
      </c>
    </row>
    <row r="72" spans="1:31" ht="37.950000000000003" customHeight="1" x14ac:dyDescent="0.3">
      <c r="A72" s="6">
        <v>69</v>
      </c>
      <c r="B72" s="7" t="s">
        <v>394</v>
      </c>
      <c r="C72" s="7" t="s">
        <v>295</v>
      </c>
      <c r="D72" s="7">
        <v>2021</v>
      </c>
      <c r="E72" s="7">
        <v>2024</v>
      </c>
      <c r="F72" s="7" t="s">
        <v>296</v>
      </c>
      <c r="G72" s="7" t="s">
        <v>297</v>
      </c>
      <c r="H72" s="7" t="s">
        <v>395</v>
      </c>
      <c r="I72" s="7" t="s">
        <v>293</v>
      </c>
      <c r="J72" s="8">
        <v>1.5</v>
      </c>
      <c r="K72" s="9">
        <f t="shared" si="4"/>
        <v>2021</v>
      </c>
      <c r="L72" s="9">
        <f t="shared" si="4"/>
        <v>2024</v>
      </c>
      <c r="M72" s="9">
        <f t="shared" si="5"/>
        <v>3</v>
      </c>
      <c r="N72" s="10" t="s">
        <v>38</v>
      </c>
      <c r="O72" s="10" t="s">
        <v>93</v>
      </c>
      <c r="P72" s="10" t="s">
        <v>79</v>
      </c>
      <c r="Q72" s="11">
        <v>25</v>
      </c>
      <c r="R72" s="12">
        <v>10</v>
      </c>
      <c r="S72" s="8">
        <v>0.1</v>
      </c>
      <c r="T72" s="8">
        <v>0.05</v>
      </c>
      <c r="U72" s="8">
        <v>0</v>
      </c>
      <c r="V72" s="8">
        <v>0.3</v>
      </c>
      <c r="W72" s="8">
        <v>0.5</v>
      </c>
      <c r="X72" s="8">
        <v>0</v>
      </c>
      <c r="Y72" s="13">
        <f t="shared" si="6"/>
        <v>-0.5</v>
      </c>
      <c r="Z72" s="13">
        <f t="shared" si="6"/>
        <v>-1</v>
      </c>
      <c r="AA72" s="14">
        <f t="shared" si="7"/>
        <v>10</v>
      </c>
      <c r="AB72" s="15">
        <v>0.04</v>
      </c>
      <c r="AC72" s="16">
        <v>60</v>
      </c>
      <c r="AD72" s="16">
        <v>100</v>
      </c>
      <c r="AE72" s="17">
        <v>0.02</v>
      </c>
    </row>
    <row r="73" spans="1:31" ht="37.950000000000003" customHeight="1" x14ac:dyDescent="0.3">
      <c r="A73" s="18">
        <v>70</v>
      </c>
      <c r="B73" s="19" t="s">
        <v>396</v>
      </c>
      <c r="C73" s="19" t="s">
        <v>397</v>
      </c>
      <c r="D73" s="19">
        <v>2017</v>
      </c>
      <c r="E73" s="19">
        <v>2023</v>
      </c>
      <c r="F73" s="19" t="s">
        <v>398</v>
      </c>
      <c r="G73" s="19" t="s">
        <v>399</v>
      </c>
      <c r="H73" s="19" t="s">
        <v>400</v>
      </c>
      <c r="I73" s="19" t="s">
        <v>64</v>
      </c>
      <c r="J73" s="20">
        <v>26</v>
      </c>
      <c r="K73" s="21">
        <f t="shared" si="4"/>
        <v>2017</v>
      </c>
      <c r="L73" s="21">
        <f t="shared" si="4"/>
        <v>2023</v>
      </c>
      <c r="M73" s="21">
        <f t="shared" si="5"/>
        <v>6</v>
      </c>
      <c r="N73" s="22" t="s">
        <v>38</v>
      </c>
      <c r="O73" s="22" t="s">
        <v>48</v>
      </c>
      <c r="P73" s="22" t="s">
        <v>49</v>
      </c>
      <c r="Q73" s="23">
        <v>200</v>
      </c>
      <c r="R73" s="24">
        <v>105</v>
      </c>
      <c r="S73" s="20">
        <v>2.5</v>
      </c>
      <c r="T73" s="20">
        <v>3</v>
      </c>
      <c r="U73" s="20">
        <v>0</v>
      </c>
      <c r="V73" s="20">
        <v>4</v>
      </c>
      <c r="W73" s="20">
        <v>6</v>
      </c>
      <c r="X73" s="20">
        <v>0</v>
      </c>
      <c r="Y73" s="25">
        <f t="shared" si="6"/>
        <v>0.2</v>
      </c>
      <c r="Z73" s="25">
        <f t="shared" si="6"/>
        <v>-1</v>
      </c>
      <c r="AA73" s="26">
        <f t="shared" si="7"/>
        <v>2</v>
      </c>
      <c r="AB73" s="27">
        <v>0.5</v>
      </c>
      <c r="AC73" s="28">
        <v>85</v>
      </c>
      <c r="AD73" s="28">
        <v>100</v>
      </c>
      <c r="AE73" s="29">
        <v>0.5</v>
      </c>
    </row>
    <row r="74" spans="1:31" ht="37.950000000000003" customHeight="1" x14ac:dyDescent="0.3">
      <c r="A74" s="6">
        <v>71</v>
      </c>
      <c r="B74" s="7" t="s">
        <v>401</v>
      </c>
      <c r="C74" s="7" t="s">
        <v>402</v>
      </c>
      <c r="D74" s="7">
        <v>2021</v>
      </c>
      <c r="E74" s="7">
        <v>2023</v>
      </c>
      <c r="F74" s="7" t="s">
        <v>403</v>
      </c>
      <c r="G74" s="7" t="s">
        <v>404</v>
      </c>
      <c r="H74" s="7" t="s">
        <v>405</v>
      </c>
      <c r="I74" s="7" t="s">
        <v>64</v>
      </c>
      <c r="J74" s="8">
        <v>3</v>
      </c>
      <c r="K74" s="9">
        <f t="shared" si="4"/>
        <v>2021</v>
      </c>
      <c r="L74" s="9">
        <f t="shared" si="4"/>
        <v>2023</v>
      </c>
      <c r="M74" s="9">
        <f t="shared" si="5"/>
        <v>2</v>
      </c>
      <c r="N74" s="10" t="s">
        <v>38</v>
      </c>
      <c r="O74" s="10" t="s">
        <v>93</v>
      </c>
      <c r="P74" s="10" t="s">
        <v>79</v>
      </c>
      <c r="Q74" s="11">
        <v>25</v>
      </c>
      <c r="R74" s="12">
        <v>15</v>
      </c>
      <c r="S74" s="8">
        <v>0.1</v>
      </c>
      <c r="T74" s="8">
        <v>0.05</v>
      </c>
      <c r="U74" s="8">
        <v>0</v>
      </c>
      <c r="V74" s="8">
        <v>0.5</v>
      </c>
      <c r="W74" s="8">
        <v>0.8</v>
      </c>
      <c r="X74" s="8">
        <v>0</v>
      </c>
      <c r="Y74" s="13">
        <f t="shared" si="6"/>
        <v>-0.5</v>
      </c>
      <c r="Z74" s="13">
        <f t="shared" si="6"/>
        <v>-1</v>
      </c>
      <c r="AA74" s="14">
        <f t="shared" si="7"/>
        <v>16</v>
      </c>
      <c r="AB74" s="15">
        <v>7.0000000000000007E-2</v>
      </c>
      <c r="AC74" s="16">
        <v>60</v>
      </c>
      <c r="AD74" s="16">
        <v>100</v>
      </c>
      <c r="AE74" s="17">
        <v>0.1</v>
      </c>
    </row>
    <row r="75" spans="1:31" ht="37.950000000000003" customHeight="1" x14ac:dyDescent="0.3">
      <c r="A75" s="18">
        <v>72</v>
      </c>
      <c r="B75" s="19" t="s">
        <v>406</v>
      </c>
      <c r="C75" s="19" t="s">
        <v>111</v>
      </c>
      <c r="D75" s="19">
        <v>2021</v>
      </c>
      <c r="E75" s="19">
        <v>2024</v>
      </c>
      <c r="F75" s="19" t="s">
        <v>407</v>
      </c>
      <c r="G75" s="19" t="s">
        <v>408</v>
      </c>
      <c r="H75" s="19" t="s">
        <v>409</v>
      </c>
      <c r="I75" s="19" t="s">
        <v>64</v>
      </c>
      <c r="J75" s="20">
        <v>670</v>
      </c>
      <c r="K75" s="21">
        <f t="shared" si="4"/>
        <v>2021</v>
      </c>
      <c r="L75" s="21">
        <f t="shared" si="4"/>
        <v>2024</v>
      </c>
      <c r="M75" s="21">
        <f t="shared" si="5"/>
        <v>3</v>
      </c>
      <c r="N75" s="22" t="s">
        <v>219</v>
      </c>
      <c r="O75" s="22" t="s">
        <v>220</v>
      </c>
      <c r="P75" s="22" t="s">
        <v>86</v>
      </c>
      <c r="Q75" s="23">
        <v>200</v>
      </c>
      <c r="R75" s="24">
        <v>2850</v>
      </c>
      <c r="S75" s="20">
        <v>35</v>
      </c>
      <c r="T75" s="20">
        <v>40</v>
      </c>
      <c r="U75" s="20">
        <v>5</v>
      </c>
      <c r="V75" s="20">
        <v>30</v>
      </c>
      <c r="W75" s="20">
        <v>45</v>
      </c>
      <c r="X75" s="20">
        <v>0</v>
      </c>
      <c r="Y75" s="25">
        <f t="shared" si="6"/>
        <v>0.14285714285714285</v>
      </c>
      <c r="Z75" s="25">
        <f t="shared" si="6"/>
        <v>-0.875</v>
      </c>
      <c r="AA75" s="26">
        <f t="shared" si="7"/>
        <v>1.125</v>
      </c>
      <c r="AB75" s="27">
        <v>4</v>
      </c>
      <c r="AC75" s="28">
        <v>60</v>
      </c>
      <c r="AD75" s="28">
        <v>100</v>
      </c>
      <c r="AE75" s="29">
        <v>9</v>
      </c>
    </row>
    <row r="76" spans="1:31" ht="37.950000000000003" customHeight="1" x14ac:dyDescent="0.3">
      <c r="A76" s="6">
        <v>73</v>
      </c>
      <c r="B76" s="7" t="s">
        <v>410</v>
      </c>
      <c r="C76" s="7" t="s">
        <v>411</v>
      </c>
      <c r="D76" s="7">
        <v>2021</v>
      </c>
      <c r="E76" s="7">
        <v>2022</v>
      </c>
      <c r="F76" s="7" t="s">
        <v>412</v>
      </c>
      <c r="G76" s="7" t="s">
        <v>413</v>
      </c>
      <c r="H76" s="7" t="s">
        <v>414</v>
      </c>
      <c r="I76" s="7" t="s">
        <v>212</v>
      </c>
      <c r="J76" s="8">
        <v>3800</v>
      </c>
      <c r="K76" s="9">
        <f t="shared" si="4"/>
        <v>2021</v>
      </c>
      <c r="L76" s="9">
        <f t="shared" si="4"/>
        <v>2022</v>
      </c>
      <c r="M76" s="9">
        <f t="shared" si="5"/>
        <v>1</v>
      </c>
      <c r="N76" s="10" t="s">
        <v>38</v>
      </c>
      <c r="O76" s="10" t="s">
        <v>220</v>
      </c>
      <c r="P76" s="10" t="s">
        <v>40</v>
      </c>
      <c r="Q76" s="11">
        <v>200</v>
      </c>
      <c r="R76" s="12">
        <v>7300</v>
      </c>
      <c r="S76" s="8">
        <v>0.5</v>
      </c>
      <c r="T76" s="8">
        <v>0.2</v>
      </c>
      <c r="U76" s="8">
        <v>0</v>
      </c>
      <c r="V76" s="8">
        <v>25</v>
      </c>
      <c r="W76" s="8">
        <v>18</v>
      </c>
      <c r="X76" s="8">
        <v>0</v>
      </c>
      <c r="Y76" s="13">
        <f t="shared" si="6"/>
        <v>-0.6</v>
      </c>
      <c r="Z76" s="13">
        <f t="shared" si="6"/>
        <v>-1</v>
      </c>
      <c r="AA76" s="14">
        <f t="shared" si="7"/>
        <v>90</v>
      </c>
      <c r="AB76" s="15">
        <v>2</v>
      </c>
      <c r="AC76" s="16">
        <v>80</v>
      </c>
      <c r="AD76" s="16">
        <v>100</v>
      </c>
      <c r="AE76" s="17">
        <v>0.5</v>
      </c>
    </row>
    <row r="77" spans="1:31" ht="37.950000000000003" customHeight="1" x14ac:dyDescent="0.3">
      <c r="A77" s="18">
        <v>74</v>
      </c>
      <c r="B77" s="19" t="s">
        <v>415</v>
      </c>
      <c r="C77" s="19" t="s">
        <v>416</v>
      </c>
      <c r="D77" s="19">
        <v>2015</v>
      </c>
      <c r="E77" s="19">
        <v>2022</v>
      </c>
      <c r="F77" s="19" t="s">
        <v>412</v>
      </c>
      <c r="G77" s="19" t="s">
        <v>417</v>
      </c>
      <c r="H77" s="19" t="s">
        <v>418</v>
      </c>
      <c r="I77" s="19" t="s">
        <v>212</v>
      </c>
      <c r="J77" s="20">
        <v>3800</v>
      </c>
      <c r="K77" s="21">
        <f t="shared" si="4"/>
        <v>2015</v>
      </c>
      <c r="L77" s="21">
        <f t="shared" si="4"/>
        <v>2022</v>
      </c>
      <c r="M77" s="21">
        <f t="shared" si="5"/>
        <v>7</v>
      </c>
      <c r="N77" s="22" t="s">
        <v>38</v>
      </c>
      <c r="O77" s="22" t="s">
        <v>220</v>
      </c>
      <c r="P77" s="22" t="s">
        <v>40</v>
      </c>
      <c r="Q77" s="23">
        <v>400</v>
      </c>
      <c r="R77" s="24">
        <v>7300</v>
      </c>
      <c r="S77" s="20">
        <v>4</v>
      </c>
      <c r="T77" s="20">
        <v>2</v>
      </c>
      <c r="U77" s="20">
        <v>0</v>
      </c>
      <c r="V77" s="20">
        <v>10</v>
      </c>
      <c r="W77" s="20">
        <v>12</v>
      </c>
      <c r="X77" s="20">
        <v>0</v>
      </c>
      <c r="Y77" s="25">
        <f t="shared" si="6"/>
        <v>-0.5</v>
      </c>
      <c r="Z77" s="25">
        <f t="shared" si="6"/>
        <v>-1</v>
      </c>
      <c r="AA77" s="26">
        <f t="shared" si="7"/>
        <v>6</v>
      </c>
      <c r="AB77" s="27">
        <v>1</v>
      </c>
      <c r="AC77" s="28">
        <v>80</v>
      </c>
      <c r="AD77" s="28">
        <v>100</v>
      </c>
      <c r="AE77" s="29">
        <v>0.3</v>
      </c>
    </row>
    <row r="78" spans="1:31" ht="37.950000000000003" customHeight="1" x14ac:dyDescent="0.3">
      <c r="A78" s="6">
        <v>75</v>
      </c>
      <c r="B78" s="7" t="s">
        <v>419</v>
      </c>
      <c r="C78" s="7" t="s">
        <v>420</v>
      </c>
      <c r="D78" s="7">
        <v>2013</v>
      </c>
      <c r="E78" s="7">
        <v>2024</v>
      </c>
      <c r="F78" s="7" t="s">
        <v>112</v>
      </c>
      <c r="G78" s="7" t="s">
        <v>421</v>
      </c>
      <c r="H78" s="7" t="s">
        <v>422</v>
      </c>
      <c r="I78" s="7" t="s">
        <v>350</v>
      </c>
      <c r="J78" s="8">
        <v>130</v>
      </c>
      <c r="K78" s="9">
        <f t="shared" si="4"/>
        <v>2013</v>
      </c>
      <c r="L78" s="9">
        <f t="shared" si="4"/>
        <v>2024</v>
      </c>
      <c r="M78" s="9">
        <f t="shared" si="5"/>
        <v>11</v>
      </c>
      <c r="N78" s="10" t="s">
        <v>38</v>
      </c>
      <c r="O78" s="10" t="s">
        <v>57</v>
      </c>
      <c r="P78" s="10" t="s">
        <v>40</v>
      </c>
      <c r="Q78" s="11">
        <v>1500</v>
      </c>
      <c r="R78" s="12">
        <v>407</v>
      </c>
      <c r="S78" s="8">
        <v>90</v>
      </c>
      <c r="T78" s="8">
        <v>60</v>
      </c>
      <c r="U78" s="8">
        <v>25</v>
      </c>
      <c r="V78" s="8">
        <v>85</v>
      </c>
      <c r="W78" s="8">
        <v>100</v>
      </c>
      <c r="X78" s="8">
        <v>75</v>
      </c>
      <c r="Y78" s="13">
        <f t="shared" si="6"/>
        <v>-0.33333333333333331</v>
      </c>
      <c r="Z78" s="13">
        <f t="shared" si="6"/>
        <v>-0.58333333333333337</v>
      </c>
      <c r="AA78" s="14">
        <f t="shared" si="7"/>
        <v>1.6666666666666667</v>
      </c>
      <c r="AB78" s="15">
        <v>8</v>
      </c>
      <c r="AC78" s="16">
        <v>75</v>
      </c>
      <c r="AD78" s="16">
        <v>70</v>
      </c>
      <c r="AE78" s="17">
        <v>4</v>
      </c>
    </row>
    <row r="79" spans="1:31" ht="37.950000000000003" customHeight="1" x14ac:dyDescent="0.3">
      <c r="A79" s="18">
        <v>76</v>
      </c>
      <c r="B79" s="19" t="s">
        <v>423</v>
      </c>
      <c r="C79" s="19" t="s">
        <v>424</v>
      </c>
      <c r="D79" s="19">
        <v>2018</v>
      </c>
      <c r="E79" s="19">
        <v>2024</v>
      </c>
      <c r="F79" s="19" t="s">
        <v>425</v>
      </c>
      <c r="G79" s="19" t="s">
        <v>426</v>
      </c>
      <c r="H79" s="19" t="s">
        <v>427</v>
      </c>
      <c r="I79" s="19" t="s">
        <v>350</v>
      </c>
      <c r="J79" s="20">
        <v>393</v>
      </c>
      <c r="K79" s="21">
        <f t="shared" si="4"/>
        <v>2018</v>
      </c>
      <c r="L79" s="21">
        <f t="shared" si="4"/>
        <v>2024</v>
      </c>
      <c r="M79" s="21">
        <f t="shared" si="5"/>
        <v>6</v>
      </c>
      <c r="N79" s="22" t="s">
        <v>428</v>
      </c>
      <c r="O79" s="22" t="s">
        <v>57</v>
      </c>
      <c r="P79" s="22" t="s">
        <v>40</v>
      </c>
      <c r="Q79" s="23">
        <v>2000</v>
      </c>
      <c r="R79" s="24">
        <v>1700</v>
      </c>
      <c r="S79" s="20">
        <v>144</v>
      </c>
      <c r="T79" s="20">
        <v>80</v>
      </c>
      <c r="U79" s="20">
        <v>30</v>
      </c>
      <c r="V79" s="20">
        <v>75</v>
      </c>
      <c r="W79" s="20">
        <v>80</v>
      </c>
      <c r="X79" s="20">
        <v>40</v>
      </c>
      <c r="Y79" s="25">
        <f t="shared" si="6"/>
        <v>-0.44444444444444442</v>
      </c>
      <c r="Z79" s="25">
        <f t="shared" si="6"/>
        <v>-0.625</v>
      </c>
      <c r="AA79" s="26">
        <f t="shared" si="7"/>
        <v>1</v>
      </c>
      <c r="AB79" s="27">
        <v>7</v>
      </c>
      <c r="AC79" s="28">
        <v>90</v>
      </c>
      <c r="AD79" s="28">
        <v>90</v>
      </c>
      <c r="AE79" s="29">
        <v>14</v>
      </c>
    </row>
    <row r="80" spans="1:31" ht="37.950000000000003" customHeight="1" x14ac:dyDescent="0.3">
      <c r="A80" s="6">
        <v>77</v>
      </c>
      <c r="B80" s="7" t="s">
        <v>429</v>
      </c>
      <c r="C80" s="7" t="s">
        <v>430</v>
      </c>
      <c r="D80" s="7">
        <v>2014</v>
      </c>
      <c r="E80" s="7">
        <v>2022</v>
      </c>
      <c r="F80" s="7" t="s">
        <v>431</v>
      </c>
      <c r="G80" s="7" t="s">
        <v>432</v>
      </c>
      <c r="H80" s="7" t="s">
        <v>433</v>
      </c>
      <c r="I80" s="7" t="s">
        <v>64</v>
      </c>
      <c r="J80" s="8">
        <v>1.5</v>
      </c>
      <c r="K80" s="9">
        <f t="shared" si="4"/>
        <v>2014</v>
      </c>
      <c r="L80" s="9">
        <f t="shared" si="4"/>
        <v>2022</v>
      </c>
      <c r="M80" s="9">
        <f t="shared" si="5"/>
        <v>8</v>
      </c>
      <c r="N80" s="10" t="s">
        <v>38</v>
      </c>
      <c r="O80" s="10" t="s">
        <v>93</v>
      </c>
      <c r="P80" s="10" t="s">
        <v>40</v>
      </c>
      <c r="Q80" s="11">
        <v>30</v>
      </c>
      <c r="R80" s="12">
        <v>8</v>
      </c>
      <c r="S80" s="8">
        <v>0.05</v>
      </c>
      <c r="T80" s="8">
        <v>0.02</v>
      </c>
      <c r="U80" s="8">
        <v>0</v>
      </c>
      <c r="V80" s="8">
        <v>0.3</v>
      </c>
      <c r="W80" s="8">
        <v>0.4</v>
      </c>
      <c r="X80" s="8">
        <v>0</v>
      </c>
      <c r="Y80" s="13">
        <f t="shared" si="6"/>
        <v>-0.6</v>
      </c>
      <c r="Z80" s="13">
        <f t="shared" si="6"/>
        <v>-1</v>
      </c>
      <c r="AA80" s="14">
        <f t="shared" si="7"/>
        <v>20</v>
      </c>
      <c r="AB80" s="15">
        <v>0.03</v>
      </c>
      <c r="AC80" s="16">
        <v>60</v>
      </c>
      <c r="AD80" s="16">
        <v>100</v>
      </c>
      <c r="AE80" s="17">
        <v>0.05</v>
      </c>
    </row>
    <row r="81" spans="1:31" ht="37.950000000000003" customHeight="1" x14ac:dyDescent="0.3">
      <c r="A81" s="18">
        <v>78</v>
      </c>
      <c r="B81" s="19" t="s">
        <v>434</v>
      </c>
      <c r="C81" s="19" t="s">
        <v>435</v>
      </c>
      <c r="D81" s="19">
        <v>2014</v>
      </c>
      <c r="E81" s="19">
        <v>2022</v>
      </c>
      <c r="F81" s="19" t="s">
        <v>392</v>
      </c>
      <c r="G81" s="19" t="s">
        <v>149</v>
      </c>
      <c r="H81" s="19" t="s">
        <v>436</v>
      </c>
      <c r="I81" s="19" t="s">
        <v>64</v>
      </c>
      <c r="J81" s="20">
        <v>1</v>
      </c>
      <c r="K81" s="21">
        <f t="shared" si="4"/>
        <v>2014</v>
      </c>
      <c r="L81" s="21">
        <f t="shared" si="4"/>
        <v>2022</v>
      </c>
      <c r="M81" s="21">
        <f t="shared" si="5"/>
        <v>8</v>
      </c>
      <c r="N81" s="22" t="s">
        <v>38</v>
      </c>
      <c r="O81" s="22" t="s">
        <v>93</v>
      </c>
      <c r="P81" s="22" t="s">
        <v>40</v>
      </c>
      <c r="Q81" s="23">
        <v>25</v>
      </c>
      <c r="R81" s="24">
        <v>5</v>
      </c>
      <c r="S81" s="20">
        <v>0.02</v>
      </c>
      <c r="T81" s="20">
        <v>0.01</v>
      </c>
      <c r="U81" s="20">
        <v>0</v>
      </c>
      <c r="V81" s="20">
        <v>0.2</v>
      </c>
      <c r="W81" s="20">
        <v>0.3</v>
      </c>
      <c r="X81" s="20">
        <v>0</v>
      </c>
      <c r="Y81" s="25">
        <f t="shared" si="6"/>
        <v>-0.5</v>
      </c>
      <c r="Z81" s="25">
        <f t="shared" si="6"/>
        <v>-1</v>
      </c>
      <c r="AA81" s="26">
        <f t="shared" si="7"/>
        <v>30</v>
      </c>
      <c r="AB81" s="27">
        <v>0.03</v>
      </c>
      <c r="AC81" s="28">
        <v>60</v>
      </c>
      <c r="AD81" s="28">
        <v>100</v>
      </c>
      <c r="AE81" s="29">
        <v>0.05</v>
      </c>
    </row>
    <row r="82" spans="1:31" ht="37.950000000000003" customHeight="1" x14ac:dyDescent="0.3">
      <c r="A82" s="6">
        <v>79</v>
      </c>
      <c r="B82" s="7" t="s">
        <v>437</v>
      </c>
      <c r="C82" s="7" t="s">
        <v>438</v>
      </c>
      <c r="D82" s="7">
        <v>2020</v>
      </c>
      <c r="E82" s="7">
        <v>2023</v>
      </c>
      <c r="F82" s="7" t="s">
        <v>439</v>
      </c>
      <c r="G82" s="7" t="s">
        <v>440</v>
      </c>
      <c r="H82" s="7" t="s">
        <v>441</v>
      </c>
      <c r="I82" s="7" t="s">
        <v>64</v>
      </c>
      <c r="J82" s="8">
        <v>1.5</v>
      </c>
      <c r="K82" s="9">
        <f t="shared" si="4"/>
        <v>2020</v>
      </c>
      <c r="L82" s="9">
        <f t="shared" si="4"/>
        <v>2023</v>
      </c>
      <c r="M82" s="9">
        <f t="shared" si="5"/>
        <v>3</v>
      </c>
      <c r="N82" s="10" t="s">
        <v>38</v>
      </c>
      <c r="O82" s="10" t="s">
        <v>93</v>
      </c>
      <c r="P82" s="10" t="s">
        <v>79</v>
      </c>
      <c r="Q82" s="11">
        <v>20</v>
      </c>
      <c r="R82" s="12">
        <v>8</v>
      </c>
      <c r="S82" s="8">
        <v>0.05</v>
      </c>
      <c r="T82" s="8">
        <v>0.02</v>
      </c>
      <c r="U82" s="8">
        <v>0</v>
      </c>
      <c r="V82" s="8">
        <v>0.2</v>
      </c>
      <c r="W82" s="8">
        <v>0.3</v>
      </c>
      <c r="X82" s="8">
        <v>0</v>
      </c>
      <c r="Y82" s="13">
        <f t="shared" si="6"/>
        <v>-0.6</v>
      </c>
      <c r="Z82" s="13">
        <f t="shared" si="6"/>
        <v>-1</v>
      </c>
      <c r="AA82" s="14">
        <f t="shared" si="7"/>
        <v>15</v>
      </c>
      <c r="AB82" s="15">
        <v>0.03</v>
      </c>
      <c r="AC82" s="16">
        <v>60</v>
      </c>
      <c r="AD82" s="16">
        <v>100</v>
      </c>
      <c r="AE82" s="17">
        <v>0.03</v>
      </c>
    </row>
    <row r="83" spans="1:31" ht="37.950000000000003" customHeight="1" x14ac:dyDescent="0.3">
      <c r="A83" s="18">
        <v>80</v>
      </c>
      <c r="B83" s="19" t="s">
        <v>442</v>
      </c>
      <c r="C83" s="19" t="s">
        <v>443</v>
      </c>
      <c r="D83" s="19">
        <v>2017</v>
      </c>
      <c r="E83" s="19">
        <v>2024</v>
      </c>
      <c r="F83" s="19" t="s">
        <v>403</v>
      </c>
      <c r="G83" s="19" t="s">
        <v>444</v>
      </c>
      <c r="H83" s="19" t="s">
        <v>445</v>
      </c>
      <c r="I83" s="19" t="s">
        <v>350</v>
      </c>
      <c r="J83" s="20">
        <v>3</v>
      </c>
      <c r="K83" s="21">
        <f t="shared" si="4"/>
        <v>2017</v>
      </c>
      <c r="L83" s="21">
        <f t="shared" si="4"/>
        <v>2024</v>
      </c>
      <c r="M83" s="21">
        <f t="shared" si="5"/>
        <v>7</v>
      </c>
      <c r="N83" s="22" t="s">
        <v>38</v>
      </c>
      <c r="O83" s="22" t="s">
        <v>78</v>
      </c>
      <c r="P83" s="22" t="s">
        <v>58</v>
      </c>
      <c r="Q83" s="23">
        <v>60</v>
      </c>
      <c r="R83" s="24">
        <v>25</v>
      </c>
      <c r="S83" s="20">
        <v>0.3</v>
      </c>
      <c r="T83" s="20">
        <v>0.4</v>
      </c>
      <c r="U83" s="20">
        <v>0.2</v>
      </c>
      <c r="V83" s="20">
        <v>0.5</v>
      </c>
      <c r="W83" s="20">
        <v>0.8</v>
      </c>
      <c r="X83" s="20">
        <v>0.4</v>
      </c>
      <c r="Y83" s="25">
        <f t="shared" si="6"/>
        <v>0.33333333333333348</v>
      </c>
      <c r="Z83" s="25">
        <f t="shared" si="6"/>
        <v>-0.5</v>
      </c>
      <c r="AA83" s="26">
        <f t="shared" si="7"/>
        <v>2</v>
      </c>
      <c r="AB83" s="27">
        <v>0.08</v>
      </c>
      <c r="AC83" s="28">
        <v>70</v>
      </c>
      <c r="AD83" s="28">
        <v>100</v>
      </c>
      <c r="AE83" s="29">
        <v>0.05</v>
      </c>
    </row>
    <row r="84" spans="1:31" ht="37.950000000000003" customHeight="1" x14ac:dyDescent="0.3">
      <c r="A84" s="6">
        <v>81</v>
      </c>
      <c r="B84" s="7" t="s">
        <v>446</v>
      </c>
      <c r="C84" s="7" t="s">
        <v>447</v>
      </c>
      <c r="D84" s="7">
        <v>2011</v>
      </c>
      <c r="E84" s="7">
        <v>2024</v>
      </c>
      <c r="F84" s="7" t="s">
        <v>448</v>
      </c>
      <c r="G84" s="7" t="s">
        <v>449</v>
      </c>
      <c r="H84" s="7" t="s">
        <v>450</v>
      </c>
      <c r="I84" s="7" t="s">
        <v>366</v>
      </c>
      <c r="J84" s="8">
        <v>550</v>
      </c>
      <c r="K84" s="9">
        <f t="shared" si="4"/>
        <v>2011</v>
      </c>
      <c r="L84" s="9">
        <f t="shared" si="4"/>
        <v>2024</v>
      </c>
      <c r="M84" s="9">
        <f t="shared" si="5"/>
        <v>13</v>
      </c>
      <c r="N84" s="10" t="s">
        <v>56</v>
      </c>
      <c r="O84" s="10" t="s">
        <v>220</v>
      </c>
      <c r="P84" s="10" t="s">
        <v>40</v>
      </c>
      <c r="Q84" s="11">
        <v>4000</v>
      </c>
      <c r="R84" s="12">
        <v>1400</v>
      </c>
      <c r="S84" s="8">
        <v>150</v>
      </c>
      <c r="T84" s="8">
        <v>180</v>
      </c>
      <c r="U84" s="8">
        <v>150</v>
      </c>
      <c r="V84" s="8">
        <v>75</v>
      </c>
      <c r="W84" s="8">
        <v>88</v>
      </c>
      <c r="X84" s="8">
        <v>60</v>
      </c>
      <c r="Y84" s="13">
        <f t="shared" si="6"/>
        <v>0.2</v>
      </c>
      <c r="Z84" s="13">
        <f t="shared" si="6"/>
        <v>-0.16666666666666666</v>
      </c>
      <c r="AA84" s="14">
        <f t="shared" si="7"/>
        <v>0.48888888888888887</v>
      </c>
      <c r="AB84" s="15">
        <v>7</v>
      </c>
      <c r="AC84" s="16">
        <v>25</v>
      </c>
      <c r="AD84" s="16">
        <v>30</v>
      </c>
      <c r="AE84" s="17">
        <v>6</v>
      </c>
    </row>
    <row r="85" spans="1:31" ht="37.950000000000003" customHeight="1" x14ac:dyDescent="0.3">
      <c r="A85" s="18">
        <v>82</v>
      </c>
      <c r="B85" s="19" t="s">
        <v>451</v>
      </c>
      <c r="C85" s="19" t="s">
        <v>452</v>
      </c>
      <c r="D85" s="19">
        <v>2022</v>
      </c>
      <c r="E85" s="19">
        <v>2024</v>
      </c>
      <c r="F85" s="19" t="s">
        <v>253</v>
      </c>
      <c r="G85" s="19" t="s">
        <v>254</v>
      </c>
      <c r="H85" s="19" t="s">
        <v>453</v>
      </c>
      <c r="I85" s="19" t="s">
        <v>64</v>
      </c>
      <c r="J85" s="20">
        <v>1.2</v>
      </c>
      <c r="K85" s="21">
        <f t="shared" si="4"/>
        <v>2022</v>
      </c>
      <c r="L85" s="21">
        <f t="shared" si="4"/>
        <v>2024</v>
      </c>
      <c r="M85" s="21">
        <f t="shared" si="5"/>
        <v>2</v>
      </c>
      <c r="N85" s="22" t="s">
        <v>38</v>
      </c>
      <c r="O85" s="22" t="s">
        <v>93</v>
      </c>
      <c r="P85" s="22" t="s">
        <v>79</v>
      </c>
      <c r="Q85" s="23">
        <v>15</v>
      </c>
      <c r="R85" s="24">
        <v>5</v>
      </c>
      <c r="S85" s="20">
        <v>0.05</v>
      </c>
      <c r="T85" s="20">
        <v>0.1</v>
      </c>
      <c r="U85" s="20">
        <v>0.05</v>
      </c>
      <c r="V85" s="20">
        <v>0.3</v>
      </c>
      <c r="W85" s="20">
        <v>0.5</v>
      </c>
      <c r="X85" s="20">
        <v>0.4</v>
      </c>
      <c r="Y85" s="25">
        <f t="shared" si="6"/>
        <v>1</v>
      </c>
      <c r="Z85" s="25">
        <f t="shared" si="6"/>
        <v>-0.5</v>
      </c>
      <c r="AA85" s="26">
        <f t="shared" si="7"/>
        <v>5</v>
      </c>
      <c r="AB85" s="27">
        <v>0.04</v>
      </c>
      <c r="AC85" s="28">
        <v>60</v>
      </c>
      <c r="AD85" s="28">
        <v>100</v>
      </c>
      <c r="AE85" s="29">
        <v>0.01</v>
      </c>
    </row>
    <row r="86" spans="1:31" ht="37.950000000000003" customHeight="1" x14ac:dyDescent="0.3">
      <c r="A86" s="6">
        <v>83</v>
      </c>
      <c r="B86" s="7" t="s">
        <v>454</v>
      </c>
      <c r="C86" s="7" t="s">
        <v>455</v>
      </c>
      <c r="D86" s="7">
        <v>2022</v>
      </c>
      <c r="E86" s="7">
        <v>2024</v>
      </c>
      <c r="F86" s="7" t="s">
        <v>456</v>
      </c>
      <c r="G86" s="7" t="s">
        <v>457</v>
      </c>
      <c r="H86" s="7" t="s">
        <v>458</v>
      </c>
      <c r="I86" s="7" t="s">
        <v>64</v>
      </c>
      <c r="J86" s="8">
        <v>42</v>
      </c>
      <c r="K86" s="9">
        <f t="shared" si="4"/>
        <v>2022</v>
      </c>
      <c r="L86" s="9">
        <f t="shared" si="4"/>
        <v>2024</v>
      </c>
      <c r="M86" s="9">
        <f t="shared" si="5"/>
        <v>2</v>
      </c>
      <c r="N86" s="10" t="s">
        <v>38</v>
      </c>
      <c r="O86" s="10" t="s">
        <v>48</v>
      </c>
      <c r="P86" s="10" t="s">
        <v>86</v>
      </c>
      <c r="Q86" s="11">
        <v>600</v>
      </c>
      <c r="R86" s="12">
        <v>200</v>
      </c>
      <c r="S86" s="8">
        <v>5</v>
      </c>
      <c r="T86" s="8">
        <v>8</v>
      </c>
      <c r="U86" s="8">
        <v>3</v>
      </c>
      <c r="V86" s="8">
        <v>6</v>
      </c>
      <c r="W86" s="8">
        <v>12</v>
      </c>
      <c r="X86" s="8">
        <v>5</v>
      </c>
      <c r="Y86" s="13">
        <f t="shared" si="6"/>
        <v>0.6</v>
      </c>
      <c r="Z86" s="13">
        <f t="shared" si="6"/>
        <v>-0.625</v>
      </c>
      <c r="AA86" s="14">
        <f t="shared" si="7"/>
        <v>1.5</v>
      </c>
      <c r="AB86" s="15">
        <v>1.2</v>
      </c>
      <c r="AC86" s="16">
        <v>70</v>
      </c>
      <c r="AD86" s="16">
        <v>70</v>
      </c>
      <c r="AE86" s="17">
        <v>2</v>
      </c>
    </row>
    <row r="87" spans="1:31" ht="37.950000000000003" customHeight="1" x14ac:dyDescent="0.3">
      <c r="A87" s="18">
        <v>84</v>
      </c>
      <c r="B87" s="19" t="s">
        <v>459</v>
      </c>
      <c r="C87" s="19" t="s">
        <v>460</v>
      </c>
      <c r="D87" s="19">
        <v>2019</v>
      </c>
      <c r="E87" s="19">
        <v>2024</v>
      </c>
      <c r="F87" s="19" t="s">
        <v>192</v>
      </c>
      <c r="G87" s="19" t="s">
        <v>461</v>
      </c>
      <c r="H87" s="19" t="s">
        <v>462</v>
      </c>
      <c r="I87" s="19" t="s">
        <v>64</v>
      </c>
      <c r="J87" s="20">
        <v>2.5</v>
      </c>
      <c r="K87" s="21">
        <f t="shared" si="4"/>
        <v>2019</v>
      </c>
      <c r="L87" s="21">
        <f t="shared" si="4"/>
        <v>2024</v>
      </c>
      <c r="M87" s="21">
        <f t="shared" si="5"/>
        <v>5</v>
      </c>
      <c r="N87" s="22" t="s">
        <v>463</v>
      </c>
      <c r="O87" s="22" t="s">
        <v>93</v>
      </c>
      <c r="P87" s="22" t="s">
        <v>40</v>
      </c>
      <c r="Q87" s="23">
        <v>40</v>
      </c>
      <c r="R87" s="24">
        <v>12</v>
      </c>
      <c r="S87" s="20">
        <v>0.1</v>
      </c>
      <c r="T87" s="20">
        <v>0.2</v>
      </c>
      <c r="U87" s="20">
        <v>0.1</v>
      </c>
      <c r="V87" s="20">
        <v>0.3</v>
      </c>
      <c r="W87" s="20">
        <v>0.5</v>
      </c>
      <c r="X87" s="20">
        <v>0.4</v>
      </c>
      <c r="Y87" s="25">
        <f t="shared" si="6"/>
        <v>1</v>
      </c>
      <c r="Z87" s="25">
        <f t="shared" si="6"/>
        <v>-0.5</v>
      </c>
      <c r="AA87" s="26">
        <f t="shared" si="7"/>
        <v>2.5</v>
      </c>
      <c r="AB87" s="27">
        <v>0.05</v>
      </c>
      <c r="AC87" s="28">
        <v>65</v>
      </c>
      <c r="AD87" s="28">
        <v>100</v>
      </c>
      <c r="AE87" s="29">
        <v>0.02</v>
      </c>
    </row>
    <row r="88" spans="1:31" ht="37.950000000000003" customHeight="1" x14ac:dyDescent="0.3">
      <c r="A88" s="6">
        <v>85</v>
      </c>
      <c r="B88" s="7" t="s">
        <v>464</v>
      </c>
      <c r="C88" s="7" t="s">
        <v>465</v>
      </c>
      <c r="D88" s="7">
        <v>2019</v>
      </c>
      <c r="E88" s="7">
        <v>2024</v>
      </c>
      <c r="F88" s="7" t="s">
        <v>466</v>
      </c>
      <c r="G88" s="7" t="s">
        <v>467</v>
      </c>
      <c r="H88" s="7" t="s">
        <v>468</v>
      </c>
      <c r="I88" s="7" t="s">
        <v>350</v>
      </c>
      <c r="J88" s="8">
        <v>15</v>
      </c>
      <c r="K88" s="9">
        <f t="shared" si="4"/>
        <v>2019</v>
      </c>
      <c r="L88" s="9">
        <f t="shared" si="4"/>
        <v>2024</v>
      </c>
      <c r="M88" s="9">
        <f t="shared" si="5"/>
        <v>5</v>
      </c>
      <c r="N88" s="10" t="s">
        <v>38</v>
      </c>
      <c r="O88" s="10" t="s">
        <v>78</v>
      </c>
      <c r="P88" s="10" t="s">
        <v>86</v>
      </c>
      <c r="Q88" s="11">
        <v>80</v>
      </c>
      <c r="R88" s="12">
        <v>60</v>
      </c>
      <c r="S88" s="8">
        <v>1</v>
      </c>
      <c r="T88" s="8">
        <v>2</v>
      </c>
      <c r="U88" s="8">
        <v>1</v>
      </c>
      <c r="V88" s="8">
        <v>2</v>
      </c>
      <c r="W88" s="8">
        <v>4</v>
      </c>
      <c r="X88" s="8">
        <v>3</v>
      </c>
      <c r="Y88" s="13">
        <f t="shared" si="6"/>
        <v>1</v>
      </c>
      <c r="Z88" s="13">
        <f t="shared" si="6"/>
        <v>-0.5</v>
      </c>
      <c r="AA88" s="14">
        <f t="shared" si="7"/>
        <v>2</v>
      </c>
      <c r="AB88" s="15">
        <v>0.3</v>
      </c>
      <c r="AC88" s="16">
        <v>75</v>
      </c>
      <c r="AD88" s="16">
        <v>100</v>
      </c>
      <c r="AE88" s="17">
        <v>0.05</v>
      </c>
    </row>
    <row r="89" spans="1:31" ht="37.950000000000003" customHeight="1" x14ac:dyDescent="0.3">
      <c r="A89" s="18">
        <v>86</v>
      </c>
      <c r="B89" s="19" t="s">
        <v>469</v>
      </c>
      <c r="C89" s="19" t="s">
        <v>111</v>
      </c>
      <c r="D89" s="19">
        <v>2016</v>
      </c>
      <c r="E89" s="19">
        <v>2022</v>
      </c>
      <c r="F89" s="19" t="s">
        <v>470</v>
      </c>
      <c r="G89" s="19" t="s">
        <v>471</v>
      </c>
      <c r="H89" s="19" t="s">
        <v>472</v>
      </c>
      <c r="I89" s="19" t="s">
        <v>64</v>
      </c>
      <c r="J89" s="20">
        <v>300</v>
      </c>
      <c r="K89" s="21">
        <f t="shared" si="4"/>
        <v>2016</v>
      </c>
      <c r="L89" s="21">
        <f t="shared" si="4"/>
        <v>2022</v>
      </c>
      <c r="M89" s="21">
        <f t="shared" si="5"/>
        <v>6</v>
      </c>
      <c r="N89" s="22" t="s">
        <v>38</v>
      </c>
      <c r="O89" s="22" t="s">
        <v>116</v>
      </c>
      <c r="P89" s="22" t="s">
        <v>86</v>
      </c>
      <c r="Q89" s="23">
        <v>800</v>
      </c>
      <c r="R89" s="24">
        <v>1500</v>
      </c>
      <c r="S89" s="20">
        <v>24</v>
      </c>
      <c r="T89" s="20">
        <v>50</v>
      </c>
      <c r="U89" s="20">
        <v>65</v>
      </c>
      <c r="V89" s="20">
        <v>35</v>
      </c>
      <c r="W89" s="20">
        <v>50</v>
      </c>
      <c r="X89" s="20">
        <v>40</v>
      </c>
      <c r="Y89" s="25">
        <f t="shared" si="6"/>
        <v>1.0833333333333333</v>
      </c>
      <c r="Z89" s="25">
        <f t="shared" si="6"/>
        <v>0.3</v>
      </c>
      <c r="AA89" s="26">
        <f t="shared" si="7"/>
        <v>1</v>
      </c>
      <c r="AB89" s="27">
        <v>4</v>
      </c>
      <c r="AC89" s="28">
        <v>50</v>
      </c>
      <c r="AD89" s="28">
        <v>30</v>
      </c>
      <c r="AE89" s="29">
        <v>12</v>
      </c>
    </row>
    <row r="90" spans="1:31" ht="37.950000000000003" customHeight="1" x14ac:dyDescent="0.3">
      <c r="A90" s="6">
        <v>87</v>
      </c>
      <c r="B90" s="7" t="s">
        <v>473</v>
      </c>
      <c r="C90" s="7" t="s">
        <v>111</v>
      </c>
      <c r="D90" s="7">
        <v>2017</v>
      </c>
      <c r="E90" s="7">
        <v>2022</v>
      </c>
      <c r="F90" s="7" t="s">
        <v>474</v>
      </c>
      <c r="G90" s="7" t="s">
        <v>475</v>
      </c>
      <c r="H90" s="7" t="s">
        <v>476</v>
      </c>
      <c r="I90" s="7" t="s">
        <v>64</v>
      </c>
      <c r="J90" s="8">
        <v>0</v>
      </c>
      <c r="K90" s="9">
        <f t="shared" si="4"/>
        <v>2017</v>
      </c>
      <c r="L90" s="9">
        <f t="shared" si="4"/>
        <v>2022</v>
      </c>
      <c r="M90" s="9">
        <f t="shared" si="5"/>
        <v>5</v>
      </c>
      <c r="N90" s="10" t="s">
        <v>38</v>
      </c>
      <c r="O90" s="10" t="s">
        <v>220</v>
      </c>
      <c r="P90" s="10" t="s">
        <v>86</v>
      </c>
      <c r="Q90" s="11">
        <v>300</v>
      </c>
      <c r="R90" s="12">
        <v>0</v>
      </c>
      <c r="S90" s="8">
        <v>8</v>
      </c>
      <c r="T90" s="8">
        <v>3</v>
      </c>
      <c r="U90" s="8">
        <v>1</v>
      </c>
      <c r="V90" s="8">
        <v>5</v>
      </c>
      <c r="W90" s="8">
        <v>6</v>
      </c>
      <c r="X90" s="8">
        <v>2</v>
      </c>
      <c r="Y90" s="13">
        <f t="shared" si="6"/>
        <v>-0.625</v>
      </c>
      <c r="Z90" s="13">
        <f t="shared" si="6"/>
        <v>-0.66666666666666663</v>
      </c>
      <c r="AA90" s="14">
        <f t="shared" si="7"/>
        <v>2</v>
      </c>
      <c r="AB90" s="15">
        <v>0.5</v>
      </c>
      <c r="AC90" s="16">
        <v>70</v>
      </c>
      <c r="AD90" s="16">
        <v>40</v>
      </c>
      <c r="AE90" s="17">
        <v>5</v>
      </c>
    </row>
    <row r="91" spans="1:31" ht="37.950000000000003" customHeight="1" x14ac:dyDescent="0.3">
      <c r="A91" s="18">
        <v>88</v>
      </c>
      <c r="B91" s="19" t="s">
        <v>477</v>
      </c>
      <c r="C91" s="19" t="s">
        <v>478</v>
      </c>
      <c r="D91" s="19">
        <v>2020</v>
      </c>
      <c r="E91" s="19">
        <v>2023</v>
      </c>
      <c r="F91" s="19" t="s">
        <v>479</v>
      </c>
      <c r="G91" s="19" t="s">
        <v>480</v>
      </c>
      <c r="H91" s="19" t="s">
        <v>481</v>
      </c>
      <c r="I91" s="19" t="s">
        <v>64</v>
      </c>
      <c r="J91" s="20">
        <v>88.5</v>
      </c>
      <c r="K91" s="21">
        <f t="shared" si="4"/>
        <v>2020</v>
      </c>
      <c r="L91" s="21">
        <f t="shared" si="4"/>
        <v>2023</v>
      </c>
      <c r="M91" s="21">
        <f t="shared" si="5"/>
        <v>3</v>
      </c>
      <c r="N91" s="22" t="s">
        <v>38</v>
      </c>
      <c r="O91" s="22" t="s">
        <v>78</v>
      </c>
      <c r="P91" s="22" t="s">
        <v>86</v>
      </c>
      <c r="Q91" s="23">
        <v>250</v>
      </c>
      <c r="R91" s="24">
        <v>350</v>
      </c>
      <c r="S91" s="20">
        <v>5</v>
      </c>
      <c r="T91" s="20">
        <v>8</v>
      </c>
      <c r="U91" s="20">
        <v>1</v>
      </c>
      <c r="V91" s="20">
        <v>24</v>
      </c>
      <c r="W91" s="20">
        <v>28</v>
      </c>
      <c r="X91" s="20">
        <v>5</v>
      </c>
      <c r="Y91" s="25">
        <f t="shared" si="6"/>
        <v>0.6</v>
      </c>
      <c r="Z91" s="25">
        <f t="shared" si="6"/>
        <v>-0.875</v>
      </c>
      <c r="AA91" s="26">
        <f t="shared" si="7"/>
        <v>3.5</v>
      </c>
      <c r="AB91" s="27">
        <v>2.2999999999999998</v>
      </c>
      <c r="AC91" s="28">
        <v>80</v>
      </c>
      <c r="AD91" s="28">
        <v>60</v>
      </c>
      <c r="AE91" s="29">
        <v>1</v>
      </c>
    </row>
    <row r="92" spans="1:31" ht="37.950000000000003" customHeight="1" x14ac:dyDescent="0.3">
      <c r="A92" s="6">
        <v>89</v>
      </c>
      <c r="B92" s="7" t="s">
        <v>482</v>
      </c>
      <c r="C92" s="7" t="s">
        <v>483</v>
      </c>
      <c r="D92" s="7">
        <v>2020</v>
      </c>
      <c r="E92" s="7">
        <v>2023</v>
      </c>
      <c r="F92" s="7" t="s">
        <v>93</v>
      </c>
      <c r="G92" s="7" t="s">
        <v>149</v>
      </c>
      <c r="H92" s="7" t="s">
        <v>484</v>
      </c>
      <c r="I92" s="7" t="s">
        <v>64</v>
      </c>
      <c r="J92" s="8">
        <v>1</v>
      </c>
      <c r="K92" s="9">
        <f t="shared" si="4"/>
        <v>2020</v>
      </c>
      <c r="L92" s="9">
        <f t="shared" si="4"/>
        <v>2023</v>
      </c>
      <c r="M92" s="9">
        <f t="shared" si="5"/>
        <v>3</v>
      </c>
      <c r="N92" s="10" t="s">
        <v>56</v>
      </c>
      <c r="O92" s="10" t="s">
        <v>93</v>
      </c>
      <c r="P92" s="10" t="s">
        <v>40</v>
      </c>
      <c r="Q92" s="11">
        <v>15</v>
      </c>
      <c r="R92" s="12">
        <v>5</v>
      </c>
      <c r="S92" s="8">
        <v>0.05</v>
      </c>
      <c r="T92" s="8">
        <v>0.02</v>
      </c>
      <c r="U92" s="8">
        <v>0</v>
      </c>
      <c r="V92" s="8">
        <v>0.2</v>
      </c>
      <c r="W92" s="8">
        <v>0.3</v>
      </c>
      <c r="X92" s="8">
        <v>0</v>
      </c>
      <c r="Y92" s="13">
        <f t="shared" si="6"/>
        <v>-0.6</v>
      </c>
      <c r="Z92" s="13">
        <f t="shared" si="6"/>
        <v>-1</v>
      </c>
      <c r="AA92" s="14">
        <f t="shared" si="7"/>
        <v>15</v>
      </c>
      <c r="AB92" s="15">
        <v>0.03</v>
      </c>
      <c r="AC92" s="16">
        <v>60</v>
      </c>
      <c r="AD92" s="16">
        <v>100</v>
      </c>
      <c r="AE92" s="17">
        <v>0.02</v>
      </c>
    </row>
    <row r="93" spans="1:31" ht="37.950000000000003" customHeight="1" x14ac:dyDescent="0.3">
      <c r="A93" s="18">
        <v>90</v>
      </c>
      <c r="B93" s="19" t="s">
        <v>485</v>
      </c>
      <c r="C93" s="19" t="s">
        <v>486</v>
      </c>
      <c r="D93" s="19">
        <v>2015</v>
      </c>
      <c r="E93" s="19">
        <v>2023</v>
      </c>
      <c r="F93" s="19" t="s">
        <v>487</v>
      </c>
      <c r="G93" s="19" t="s">
        <v>488</v>
      </c>
      <c r="H93" s="19" t="s">
        <v>489</v>
      </c>
      <c r="I93" s="19" t="s">
        <v>64</v>
      </c>
      <c r="J93" s="20">
        <v>33</v>
      </c>
      <c r="K93" s="21">
        <f t="shared" si="4"/>
        <v>2015</v>
      </c>
      <c r="L93" s="21">
        <f t="shared" si="4"/>
        <v>2023</v>
      </c>
      <c r="M93" s="21">
        <f t="shared" si="5"/>
        <v>8</v>
      </c>
      <c r="N93" s="22" t="s">
        <v>38</v>
      </c>
      <c r="O93" s="22" t="s">
        <v>48</v>
      </c>
      <c r="P93" s="22" t="s">
        <v>272</v>
      </c>
      <c r="Q93" s="23">
        <v>150</v>
      </c>
      <c r="R93" s="24">
        <v>100</v>
      </c>
      <c r="S93" s="20">
        <v>1.5</v>
      </c>
      <c r="T93" s="20">
        <v>0.5</v>
      </c>
      <c r="U93" s="20">
        <v>0</v>
      </c>
      <c r="V93" s="20">
        <v>5</v>
      </c>
      <c r="W93" s="20">
        <v>7</v>
      </c>
      <c r="X93" s="20">
        <v>0</v>
      </c>
      <c r="Y93" s="25">
        <f t="shared" si="6"/>
        <v>-0.66666666666666663</v>
      </c>
      <c r="Z93" s="25">
        <f t="shared" si="6"/>
        <v>-1</v>
      </c>
      <c r="AA93" s="26">
        <f t="shared" si="7"/>
        <v>14</v>
      </c>
      <c r="AB93" s="27">
        <v>0.6</v>
      </c>
      <c r="AC93" s="28">
        <v>75</v>
      </c>
      <c r="AD93" s="28">
        <v>100</v>
      </c>
      <c r="AE93" s="29">
        <v>1</v>
      </c>
    </row>
    <row r="94" spans="1:31" ht="37.950000000000003" customHeight="1" x14ac:dyDescent="0.3">
      <c r="A94" s="6">
        <v>91</v>
      </c>
      <c r="B94" s="7" t="s">
        <v>490</v>
      </c>
      <c r="C94" s="7" t="s">
        <v>491</v>
      </c>
      <c r="D94" s="7">
        <v>2014</v>
      </c>
      <c r="E94" s="7">
        <v>2024</v>
      </c>
      <c r="F94" s="7" t="s">
        <v>492</v>
      </c>
      <c r="G94" s="7" t="s">
        <v>493</v>
      </c>
      <c r="H94" s="7" t="s">
        <v>494</v>
      </c>
      <c r="I94" s="7" t="s">
        <v>64</v>
      </c>
      <c r="J94" s="8">
        <v>0</v>
      </c>
      <c r="K94" s="9">
        <f t="shared" si="4"/>
        <v>2014</v>
      </c>
      <c r="L94" s="9">
        <f t="shared" si="4"/>
        <v>2024</v>
      </c>
      <c r="M94" s="9">
        <f t="shared" si="5"/>
        <v>10</v>
      </c>
      <c r="N94" s="10" t="s">
        <v>219</v>
      </c>
      <c r="O94" s="10" t="s">
        <v>220</v>
      </c>
      <c r="P94" s="10" t="s">
        <v>195</v>
      </c>
      <c r="Q94" s="11">
        <v>100</v>
      </c>
      <c r="R94" s="12">
        <v>0</v>
      </c>
      <c r="S94" s="8">
        <v>30</v>
      </c>
      <c r="T94" s="8">
        <v>25</v>
      </c>
      <c r="U94" s="8">
        <v>10</v>
      </c>
      <c r="V94" s="8">
        <v>8</v>
      </c>
      <c r="W94" s="8">
        <v>12</v>
      </c>
      <c r="X94" s="8">
        <v>8</v>
      </c>
      <c r="Y94" s="13">
        <f t="shared" si="6"/>
        <v>-0.16666666666666666</v>
      </c>
      <c r="Z94" s="13">
        <f t="shared" si="6"/>
        <v>-0.6</v>
      </c>
      <c r="AA94" s="14">
        <f t="shared" si="7"/>
        <v>0.48</v>
      </c>
      <c r="AB94" s="15">
        <v>1</v>
      </c>
      <c r="AC94" s="16">
        <v>60</v>
      </c>
      <c r="AD94" s="16">
        <v>70</v>
      </c>
      <c r="AE94" s="17">
        <v>75</v>
      </c>
    </row>
    <row r="95" spans="1:31" ht="37.950000000000003" customHeight="1" x14ac:dyDescent="0.3">
      <c r="A95" s="18">
        <v>92</v>
      </c>
      <c r="B95" s="19" t="s">
        <v>495</v>
      </c>
      <c r="C95" s="19" t="s">
        <v>496</v>
      </c>
      <c r="D95" s="19">
        <v>2017</v>
      </c>
      <c r="E95" s="19">
        <v>2024</v>
      </c>
      <c r="F95" s="19" t="s">
        <v>497</v>
      </c>
      <c r="G95" s="19" t="s">
        <v>498</v>
      </c>
      <c r="H95" s="19" t="s">
        <v>499</v>
      </c>
      <c r="I95" s="19" t="s">
        <v>64</v>
      </c>
      <c r="J95" s="20">
        <v>135</v>
      </c>
      <c r="K95" s="21">
        <f t="shared" si="4"/>
        <v>2017</v>
      </c>
      <c r="L95" s="21">
        <f t="shared" si="4"/>
        <v>2024</v>
      </c>
      <c r="M95" s="21">
        <f t="shared" si="5"/>
        <v>7</v>
      </c>
      <c r="N95" s="22" t="s">
        <v>38</v>
      </c>
      <c r="O95" s="22" t="s">
        <v>48</v>
      </c>
      <c r="P95" s="22" t="s">
        <v>40</v>
      </c>
      <c r="Q95" s="23">
        <v>600</v>
      </c>
      <c r="R95" s="24">
        <v>200</v>
      </c>
      <c r="S95" s="20">
        <v>10</v>
      </c>
      <c r="T95" s="20">
        <v>30</v>
      </c>
      <c r="U95" s="20">
        <v>20</v>
      </c>
      <c r="V95" s="20">
        <v>7</v>
      </c>
      <c r="W95" s="20">
        <v>16</v>
      </c>
      <c r="X95" s="20">
        <v>16</v>
      </c>
      <c r="Y95" s="25">
        <f t="shared" si="6"/>
        <v>2</v>
      </c>
      <c r="Z95" s="25">
        <f t="shared" si="6"/>
        <v>-0.33333333333333331</v>
      </c>
      <c r="AA95" s="26">
        <f t="shared" si="7"/>
        <v>0.53333333333333333</v>
      </c>
      <c r="AB95" s="27">
        <v>1.5</v>
      </c>
      <c r="AC95" s="28">
        <v>65</v>
      </c>
      <c r="AD95" s="28">
        <v>30</v>
      </c>
      <c r="AE95" s="29">
        <v>2.5</v>
      </c>
    </row>
    <row r="96" spans="1:31" ht="37.950000000000003" customHeight="1" x14ac:dyDescent="0.3">
      <c r="A96" s="6">
        <v>93</v>
      </c>
      <c r="B96" s="7" t="s">
        <v>500</v>
      </c>
      <c r="C96" s="7" t="s">
        <v>501</v>
      </c>
      <c r="D96" s="7">
        <v>2015</v>
      </c>
      <c r="E96" s="7">
        <v>2025</v>
      </c>
      <c r="F96" s="7" t="s">
        <v>502</v>
      </c>
      <c r="G96" s="7" t="s">
        <v>503</v>
      </c>
      <c r="H96" s="7" t="s">
        <v>504</v>
      </c>
      <c r="I96" s="7" t="s">
        <v>64</v>
      </c>
      <c r="J96" s="8">
        <v>450</v>
      </c>
      <c r="K96" s="9">
        <f t="shared" si="4"/>
        <v>2015</v>
      </c>
      <c r="L96" s="9">
        <f t="shared" si="4"/>
        <v>2025</v>
      </c>
      <c r="M96" s="9">
        <f t="shared" si="5"/>
        <v>10</v>
      </c>
      <c r="N96" s="10" t="s">
        <v>219</v>
      </c>
      <c r="O96" s="10" t="s">
        <v>65</v>
      </c>
      <c r="P96" s="10" t="s">
        <v>40</v>
      </c>
      <c r="Q96" s="11">
        <v>1200</v>
      </c>
      <c r="R96" s="12">
        <v>600</v>
      </c>
      <c r="S96" s="8">
        <v>90</v>
      </c>
      <c r="T96" s="8">
        <v>95</v>
      </c>
      <c r="U96" s="8">
        <v>78</v>
      </c>
      <c r="V96" s="8">
        <v>51</v>
      </c>
      <c r="W96" s="8">
        <v>79</v>
      </c>
      <c r="X96" s="8">
        <v>85</v>
      </c>
      <c r="Y96" s="13">
        <f t="shared" si="6"/>
        <v>5.5555555555555552E-2</v>
      </c>
      <c r="Z96" s="13">
        <f t="shared" si="6"/>
        <v>-0.17894736842105263</v>
      </c>
      <c r="AA96" s="14">
        <f t="shared" si="7"/>
        <v>0.83157894736842108</v>
      </c>
      <c r="AB96" s="15">
        <v>7</v>
      </c>
      <c r="AC96" s="16">
        <v>60</v>
      </c>
      <c r="AD96" s="16">
        <v>30</v>
      </c>
      <c r="AE96" s="17">
        <v>1</v>
      </c>
    </row>
    <row r="97" spans="1:31" ht="37.950000000000003" customHeight="1" x14ac:dyDescent="0.3">
      <c r="A97" s="18">
        <v>94</v>
      </c>
      <c r="B97" s="19" t="s">
        <v>505</v>
      </c>
      <c r="C97" s="19" t="s">
        <v>506</v>
      </c>
      <c r="D97" s="19">
        <v>2018</v>
      </c>
      <c r="E97" s="19">
        <v>2024</v>
      </c>
      <c r="F97" s="19" t="s">
        <v>507</v>
      </c>
      <c r="G97" s="19" t="s">
        <v>508</v>
      </c>
      <c r="H97" s="19" t="s">
        <v>509</v>
      </c>
      <c r="I97" s="19" t="s">
        <v>64</v>
      </c>
      <c r="J97" s="20">
        <v>185</v>
      </c>
      <c r="K97" s="21">
        <f t="shared" si="4"/>
        <v>2018</v>
      </c>
      <c r="L97" s="21">
        <f t="shared" si="4"/>
        <v>2024</v>
      </c>
      <c r="M97" s="21">
        <f t="shared" si="5"/>
        <v>6</v>
      </c>
      <c r="N97" s="22" t="s">
        <v>47</v>
      </c>
      <c r="O97" s="22" t="s">
        <v>57</v>
      </c>
      <c r="P97" s="22" t="s">
        <v>40</v>
      </c>
      <c r="Q97" s="23">
        <v>1800</v>
      </c>
      <c r="R97" s="24">
        <v>1400</v>
      </c>
      <c r="S97" s="20">
        <v>35</v>
      </c>
      <c r="T97" s="20">
        <v>45</v>
      </c>
      <c r="U97" s="20">
        <v>25</v>
      </c>
      <c r="V97" s="20">
        <v>35</v>
      </c>
      <c r="W97" s="20">
        <v>50</v>
      </c>
      <c r="X97" s="20">
        <v>30</v>
      </c>
      <c r="Y97" s="25">
        <f t="shared" si="6"/>
        <v>0.2857142857142857</v>
      </c>
      <c r="Z97" s="25">
        <f t="shared" si="6"/>
        <v>-0.44444444444444442</v>
      </c>
      <c r="AA97" s="26">
        <f t="shared" si="7"/>
        <v>1.1111111111111112</v>
      </c>
      <c r="AB97" s="27">
        <v>4</v>
      </c>
      <c r="AC97" s="28">
        <v>55</v>
      </c>
      <c r="AD97" s="28">
        <v>40</v>
      </c>
      <c r="AE97" s="29">
        <v>0.5</v>
      </c>
    </row>
    <row r="98" spans="1:31" ht="37.950000000000003" customHeight="1" x14ac:dyDescent="0.3">
      <c r="A98" s="6">
        <v>95</v>
      </c>
      <c r="B98" s="7" t="s">
        <v>510</v>
      </c>
      <c r="C98" s="7" t="s">
        <v>511</v>
      </c>
      <c r="D98" s="7">
        <v>2015</v>
      </c>
      <c r="E98" s="7">
        <v>2023</v>
      </c>
      <c r="F98" s="7" t="s">
        <v>512</v>
      </c>
      <c r="G98" s="7" t="s">
        <v>513</v>
      </c>
      <c r="H98" s="7" t="s">
        <v>514</v>
      </c>
      <c r="I98" s="7" t="s">
        <v>64</v>
      </c>
      <c r="J98" s="8">
        <v>92</v>
      </c>
      <c r="K98" s="9">
        <f t="shared" si="4"/>
        <v>2015</v>
      </c>
      <c r="L98" s="9">
        <f t="shared" si="4"/>
        <v>2023</v>
      </c>
      <c r="M98" s="9">
        <f t="shared" si="5"/>
        <v>8</v>
      </c>
      <c r="N98" s="10" t="s">
        <v>47</v>
      </c>
      <c r="O98" s="10" t="s">
        <v>65</v>
      </c>
      <c r="P98" s="10" t="s">
        <v>86</v>
      </c>
      <c r="Q98" s="11">
        <v>600</v>
      </c>
      <c r="R98" s="12">
        <v>230</v>
      </c>
      <c r="S98" s="8">
        <v>10</v>
      </c>
      <c r="T98" s="8">
        <v>14</v>
      </c>
      <c r="U98" s="8">
        <v>8</v>
      </c>
      <c r="V98" s="8">
        <v>12</v>
      </c>
      <c r="W98" s="8">
        <v>18</v>
      </c>
      <c r="X98" s="8">
        <v>10</v>
      </c>
      <c r="Y98" s="13">
        <f t="shared" si="6"/>
        <v>0.4</v>
      </c>
      <c r="Z98" s="13">
        <f t="shared" si="6"/>
        <v>-0.42857142857142855</v>
      </c>
      <c r="AA98" s="14">
        <f t="shared" si="7"/>
        <v>1.2857142857142858</v>
      </c>
      <c r="AB98" s="15">
        <v>1.3</v>
      </c>
      <c r="AC98" s="16">
        <v>65</v>
      </c>
      <c r="AD98" s="16">
        <v>50</v>
      </c>
      <c r="AE98" s="17">
        <v>5</v>
      </c>
    </row>
    <row r="99" spans="1:31" ht="37.950000000000003" customHeight="1" x14ac:dyDescent="0.3">
      <c r="A99" s="18">
        <v>96</v>
      </c>
      <c r="B99" s="19" t="s">
        <v>515</v>
      </c>
      <c r="C99" s="19" t="s">
        <v>516</v>
      </c>
      <c r="D99" s="19">
        <v>2021</v>
      </c>
      <c r="E99" s="19">
        <v>2022</v>
      </c>
      <c r="F99" s="19" t="s">
        <v>517</v>
      </c>
      <c r="G99" s="19" t="s">
        <v>518</v>
      </c>
      <c r="H99" s="19" t="s">
        <v>519</v>
      </c>
      <c r="I99" s="19" t="s">
        <v>64</v>
      </c>
      <c r="J99" s="20">
        <v>18</v>
      </c>
      <c r="K99" s="21">
        <f t="shared" si="4"/>
        <v>2021</v>
      </c>
      <c r="L99" s="21">
        <f t="shared" si="4"/>
        <v>2022</v>
      </c>
      <c r="M99" s="21">
        <f t="shared" si="5"/>
        <v>1</v>
      </c>
      <c r="N99" s="22" t="s">
        <v>38</v>
      </c>
      <c r="O99" s="22" t="s">
        <v>78</v>
      </c>
      <c r="P99" s="22" t="s">
        <v>79</v>
      </c>
      <c r="Q99" s="23">
        <v>50</v>
      </c>
      <c r="R99" s="24">
        <v>30</v>
      </c>
      <c r="S99" s="20">
        <v>0.3</v>
      </c>
      <c r="T99" s="20">
        <v>0.2</v>
      </c>
      <c r="U99" s="20">
        <v>0</v>
      </c>
      <c r="V99" s="20">
        <v>1</v>
      </c>
      <c r="W99" s="20">
        <v>1.5</v>
      </c>
      <c r="X99" s="20">
        <v>0</v>
      </c>
      <c r="Y99" s="25">
        <f t="shared" si="6"/>
        <v>-0.33333333333333326</v>
      </c>
      <c r="Z99" s="25">
        <f t="shared" si="6"/>
        <v>-1</v>
      </c>
      <c r="AA99" s="26">
        <f t="shared" si="7"/>
        <v>7.5</v>
      </c>
      <c r="AB99" s="27">
        <v>0.12</v>
      </c>
      <c r="AC99" s="28">
        <v>60</v>
      </c>
      <c r="AD99" s="28">
        <v>100</v>
      </c>
      <c r="AE99" s="29">
        <v>0.1</v>
      </c>
    </row>
    <row r="100" spans="1:31" ht="37.950000000000003" customHeight="1" x14ac:dyDescent="0.3">
      <c r="A100" s="6">
        <v>97</v>
      </c>
      <c r="B100" s="7" t="s">
        <v>520</v>
      </c>
      <c r="C100" s="7" t="s">
        <v>521</v>
      </c>
      <c r="D100" s="7">
        <v>2018</v>
      </c>
      <c r="E100" s="7">
        <v>2023</v>
      </c>
      <c r="F100" s="7" t="s">
        <v>522</v>
      </c>
      <c r="G100" s="7" t="s">
        <v>523</v>
      </c>
      <c r="H100" s="7" t="s">
        <v>524</v>
      </c>
      <c r="I100" s="7" t="s">
        <v>64</v>
      </c>
      <c r="J100" s="8">
        <v>27</v>
      </c>
      <c r="K100" s="9">
        <f t="shared" si="4"/>
        <v>2018</v>
      </c>
      <c r="L100" s="9">
        <f t="shared" si="4"/>
        <v>2023</v>
      </c>
      <c r="M100" s="9">
        <f t="shared" si="5"/>
        <v>5</v>
      </c>
      <c r="N100" s="10" t="s">
        <v>38</v>
      </c>
      <c r="O100" s="10" t="s">
        <v>78</v>
      </c>
      <c r="P100" s="10" t="s">
        <v>86</v>
      </c>
      <c r="Q100" s="11">
        <v>100</v>
      </c>
      <c r="R100" s="12">
        <v>80</v>
      </c>
      <c r="S100" s="8">
        <v>2</v>
      </c>
      <c r="T100" s="8">
        <v>1</v>
      </c>
      <c r="U100" s="8">
        <v>0</v>
      </c>
      <c r="V100" s="8">
        <v>8</v>
      </c>
      <c r="W100" s="8">
        <v>12</v>
      </c>
      <c r="X100" s="8">
        <v>0</v>
      </c>
      <c r="Y100" s="13">
        <f t="shared" si="6"/>
        <v>-0.5</v>
      </c>
      <c r="Z100" s="13">
        <f t="shared" si="6"/>
        <v>-1</v>
      </c>
      <c r="AA100" s="14">
        <f t="shared" si="7"/>
        <v>12</v>
      </c>
      <c r="AB100" s="15">
        <v>1</v>
      </c>
      <c r="AC100" s="16">
        <v>80</v>
      </c>
      <c r="AD100" s="16">
        <v>100</v>
      </c>
      <c r="AE100" s="17">
        <v>0.3</v>
      </c>
    </row>
    <row r="101" spans="1:31" ht="37.950000000000003" customHeight="1" x14ac:dyDescent="0.3">
      <c r="A101" s="18">
        <v>98</v>
      </c>
      <c r="B101" s="19" t="s">
        <v>525</v>
      </c>
      <c r="C101" s="19" t="s">
        <v>526</v>
      </c>
      <c r="D101" s="19">
        <v>2016</v>
      </c>
      <c r="E101" s="19">
        <v>2024</v>
      </c>
      <c r="F101" s="19" t="s">
        <v>527</v>
      </c>
      <c r="G101" s="19" t="s">
        <v>528</v>
      </c>
      <c r="H101" s="19" t="s">
        <v>529</v>
      </c>
      <c r="I101" s="19" t="s">
        <v>64</v>
      </c>
      <c r="J101" s="20">
        <v>23</v>
      </c>
      <c r="K101" s="21">
        <f t="shared" si="4"/>
        <v>2016</v>
      </c>
      <c r="L101" s="21">
        <f t="shared" si="4"/>
        <v>2024</v>
      </c>
      <c r="M101" s="21">
        <f t="shared" si="5"/>
        <v>8</v>
      </c>
      <c r="N101" s="22" t="s">
        <v>38</v>
      </c>
      <c r="O101" s="22" t="s">
        <v>48</v>
      </c>
      <c r="P101" s="22" t="s">
        <v>272</v>
      </c>
      <c r="Q101" s="23">
        <v>200</v>
      </c>
      <c r="R101" s="24">
        <v>80</v>
      </c>
      <c r="S101" s="20">
        <v>1</v>
      </c>
      <c r="T101" s="20">
        <v>0.5</v>
      </c>
      <c r="U101" s="20">
        <v>0</v>
      </c>
      <c r="V101" s="20">
        <v>4</v>
      </c>
      <c r="W101" s="20">
        <v>6</v>
      </c>
      <c r="X101" s="20">
        <v>0</v>
      </c>
      <c r="Y101" s="25">
        <f t="shared" si="6"/>
        <v>-0.5</v>
      </c>
      <c r="Z101" s="25">
        <f t="shared" si="6"/>
        <v>-1</v>
      </c>
      <c r="AA101" s="26">
        <f t="shared" si="7"/>
        <v>12</v>
      </c>
      <c r="AB101" s="27">
        <v>0.5</v>
      </c>
      <c r="AC101" s="28">
        <v>70</v>
      </c>
      <c r="AD101" s="28">
        <v>80</v>
      </c>
      <c r="AE101" s="29">
        <v>1</v>
      </c>
    </row>
    <row r="102" spans="1:31" ht="37.950000000000003" customHeight="1" x14ac:dyDescent="0.3">
      <c r="A102" s="6">
        <v>99</v>
      </c>
      <c r="B102" s="7" t="s">
        <v>530</v>
      </c>
      <c r="C102" s="7" t="s">
        <v>531</v>
      </c>
      <c r="D102" s="7">
        <v>2013</v>
      </c>
      <c r="E102" s="7">
        <v>2024</v>
      </c>
      <c r="F102" s="7" t="s">
        <v>532</v>
      </c>
      <c r="G102" s="7" t="s">
        <v>533</v>
      </c>
      <c r="H102" s="7" t="s">
        <v>534</v>
      </c>
      <c r="I102" s="7" t="s">
        <v>64</v>
      </c>
      <c r="J102" s="8">
        <v>36</v>
      </c>
      <c r="K102" s="9">
        <f t="shared" si="4"/>
        <v>2013</v>
      </c>
      <c r="L102" s="9">
        <f t="shared" si="4"/>
        <v>2024</v>
      </c>
      <c r="M102" s="9">
        <f t="shared" si="5"/>
        <v>11</v>
      </c>
      <c r="N102" s="10" t="s">
        <v>56</v>
      </c>
      <c r="O102" s="10" t="s">
        <v>48</v>
      </c>
      <c r="P102" s="10" t="s">
        <v>40</v>
      </c>
      <c r="Q102" s="11">
        <v>400</v>
      </c>
      <c r="R102" s="12">
        <v>150</v>
      </c>
      <c r="S102" s="8">
        <v>5</v>
      </c>
      <c r="T102" s="8">
        <v>7</v>
      </c>
      <c r="U102" s="8">
        <v>4</v>
      </c>
      <c r="V102" s="8">
        <v>6</v>
      </c>
      <c r="W102" s="8">
        <v>8</v>
      </c>
      <c r="X102" s="8">
        <v>5</v>
      </c>
      <c r="Y102" s="13">
        <f t="shared" si="6"/>
        <v>0.4</v>
      </c>
      <c r="Z102" s="13">
        <f t="shared" si="6"/>
        <v>-0.42857142857142855</v>
      </c>
      <c r="AA102" s="14">
        <f t="shared" si="7"/>
        <v>1.1428571428571428</v>
      </c>
      <c r="AB102" s="15">
        <v>0.7</v>
      </c>
      <c r="AC102" s="16">
        <v>50</v>
      </c>
      <c r="AD102" s="16">
        <v>60</v>
      </c>
      <c r="AE102" s="17">
        <v>0.1</v>
      </c>
    </row>
    <row r="103" spans="1:31" ht="37.950000000000003" customHeight="1" x14ac:dyDescent="0.3">
      <c r="A103" s="18">
        <v>100</v>
      </c>
      <c r="B103" s="19" t="s">
        <v>535</v>
      </c>
      <c r="C103" s="19" t="s">
        <v>536</v>
      </c>
      <c r="D103" s="19">
        <v>2018</v>
      </c>
      <c r="E103" s="19">
        <v>2024</v>
      </c>
      <c r="F103" s="19" t="s">
        <v>466</v>
      </c>
      <c r="G103" s="19" t="s">
        <v>537</v>
      </c>
      <c r="H103" s="19" t="s">
        <v>538</v>
      </c>
      <c r="I103" s="19" t="s">
        <v>64</v>
      </c>
      <c r="J103" s="20">
        <v>15</v>
      </c>
      <c r="K103" s="21">
        <f t="shared" si="4"/>
        <v>2018</v>
      </c>
      <c r="L103" s="21">
        <f t="shared" si="4"/>
        <v>2024</v>
      </c>
      <c r="M103" s="21">
        <f t="shared" si="5"/>
        <v>6</v>
      </c>
      <c r="N103" s="22" t="s">
        <v>38</v>
      </c>
      <c r="O103" s="22" t="s">
        <v>78</v>
      </c>
      <c r="P103" s="22" t="s">
        <v>40</v>
      </c>
      <c r="Q103" s="23">
        <v>80</v>
      </c>
      <c r="R103" s="24">
        <v>50</v>
      </c>
      <c r="S103" s="20">
        <v>1.5</v>
      </c>
      <c r="T103" s="20">
        <v>2</v>
      </c>
      <c r="U103" s="20">
        <v>1</v>
      </c>
      <c r="V103" s="20">
        <v>4</v>
      </c>
      <c r="W103" s="20">
        <v>6</v>
      </c>
      <c r="X103" s="20">
        <v>3</v>
      </c>
      <c r="Y103" s="25">
        <f t="shared" si="6"/>
        <v>0.33333333333333331</v>
      </c>
      <c r="Z103" s="25">
        <f t="shared" si="6"/>
        <v>-0.5</v>
      </c>
      <c r="AA103" s="26">
        <f t="shared" si="7"/>
        <v>3</v>
      </c>
      <c r="AB103" s="27">
        <v>0.5</v>
      </c>
      <c r="AC103" s="28">
        <v>70</v>
      </c>
      <c r="AD103" s="28">
        <v>60</v>
      </c>
      <c r="AE103" s="29">
        <v>0.2</v>
      </c>
    </row>
    <row r="104" spans="1:31" ht="37.950000000000003" customHeight="1" x14ac:dyDescent="0.3">
      <c r="A104" s="6">
        <v>101</v>
      </c>
      <c r="B104" s="7" t="s">
        <v>539</v>
      </c>
      <c r="C104" s="7" t="s">
        <v>540</v>
      </c>
      <c r="D104" s="7">
        <v>2021</v>
      </c>
      <c r="E104" s="7">
        <v>2023</v>
      </c>
      <c r="F104" s="7" t="s">
        <v>541</v>
      </c>
      <c r="G104" s="7" t="s">
        <v>542</v>
      </c>
      <c r="H104" s="7" t="s">
        <v>543</v>
      </c>
      <c r="I104" s="7" t="s">
        <v>64</v>
      </c>
      <c r="J104" s="8">
        <v>40</v>
      </c>
      <c r="K104" s="9">
        <f t="shared" si="4"/>
        <v>2021</v>
      </c>
      <c r="L104" s="9">
        <f t="shared" si="4"/>
        <v>2023</v>
      </c>
      <c r="M104" s="9">
        <f t="shared" si="5"/>
        <v>2</v>
      </c>
      <c r="N104" s="10" t="s">
        <v>38</v>
      </c>
      <c r="O104" s="10" t="s">
        <v>116</v>
      </c>
      <c r="P104" s="10" t="s">
        <v>195</v>
      </c>
      <c r="Q104" s="11">
        <v>100</v>
      </c>
      <c r="R104" s="12">
        <v>90</v>
      </c>
      <c r="S104" s="8">
        <v>5</v>
      </c>
      <c r="T104" s="8">
        <v>3</v>
      </c>
      <c r="U104" s="8">
        <v>0</v>
      </c>
      <c r="V104" s="8">
        <v>2</v>
      </c>
      <c r="W104" s="8">
        <v>3</v>
      </c>
      <c r="X104" s="8">
        <v>0</v>
      </c>
      <c r="Y104" s="13">
        <f t="shared" si="6"/>
        <v>-0.4</v>
      </c>
      <c r="Z104" s="13">
        <f t="shared" si="6"/>
        <v>-1</v>
      </c>
      <c r="AA104" s="14">
        <f t="shared" si="7"/>
        <v>1</v>
      </c>
      <c r="AB104" s="15">
        <v>0.3</v>
      </c>
      <c r="AC104" s="16">
        <v>60</v>
      </c>
      <c r="AD104" s="16">
        <v>50</v>
      </c>
      <c r="AE104" s="17">
        <v>0.5</v>
      </c>
    </row>
    <row r="105" spans="1:31" ht="37.950000000000003" customHeight="1" x14ac:dyDescent="0.3">
      <c r="A105" s="18">
        <v>102</v>
      </c>
      <c r="B105" s="19" t="s">
        <v>544</v>
      </c>
      <c r="C105" s="19" t="s">
        <v>545</v>
      </c>
      <c r="D105" s="19">
        <v>2012</v>
      </c>
      <c r="E105" s="19">
        <v>2024</v>
      </c>
      <c r="F105" s="19" t="s">
        <v>546</v>
      </c>
      <c r="G105" s="19" t="s">
        <v>547</v>
      </c>
      <c r="H105" s="19" t="s">
        <v>548</v>
      </c>
      <c r="I105" s="19" t="s">
        <v>64</v>
      </c>
      <c r="J105" s="20">
        <v>50</v>
      </c>
      <c r="K105" s="21">
        <f t="shared" si="4"/>
        <v>2012</v>
      </c>
      <c r="L105" s="21">
        <f t="shared" si="4"/>
        <v>2024</v>
      </c>
      <c r="M105" s="21">
        <f t="shared" si="5"/>
        <v>12</v>
      </c>
      <c r="N105" s="22" t="s">
        <v>56</v>
      </c>
      <c r="O105" s="22" t="s">
        <v>116</v>
      </c>
      <c r="P105" s="22" t="s">
        <v>40</v>
      </c>
      <c r="Q105" s="23">
        <v>500</v>
      </c>
      <c r="R105" s="24">
        <v>90</v>
      </c>
      <c r="S105" s="20">
        <v>18</v>
      </c>
      <c r="T105" s="20">
        <v>14</v>
      </c>
      <c r="U105" s="20">
        <v>5</v>
      </c>
      <c r="V105" s="20">
        <v>6</v>
      </c>
      <c r="W105" s="20">
        <v>10</v>
      </c>
      <c r="X105" s="20">
        <v>8</v>
      </c>
      <c r="Y105" s="25">
        <f t="shared" si="6"/>
        <v>-0.22222222222222221</v>
      </c>
      <c r="Z105" s="25">
        <f t="shared" si="6"/>
        <v>-0.6428571428571429</v>
      </c>
      <c r="AA105" s="26">
        <f t="shared" si="7"/>
        <v>0.7142857142857143</v>
      </c>
      <c r="AB105" s="27">
        <v>0.8</v>
      </c>
      <c r="AC105" s="28">
        <v>70</v>
      </c>
      <c r="AD105" s="28">
        <v>70</v>
      </c>
      <c r="AE105" s="29">
        <v>4</v>
      </c>
    </row>
    <row r="106" spans="1:31" ht="37.950000000000003" customHeight="1" x14ac:dyDescent="0.3">
      <c r="A106" s="6">
        <v>103</v>
      </c>
      <c r="B106" s="7" t="s">
        <v>549</v>
      </c>
      <c r="C106" s="7" t="s">
        <v>550</v>
      </c>
      <c r="D106" s="7">
        <v>2018</v>
      </c>
      <c r="E106" s="7">
        <v>2024</v>
      </c>
      <c r="F106" s="7" t="s">
        <v>551</v>
      </c>
      <c r="G106" s="7" t="s">
        <v>552</v>
      </c>
      <c r="H106" s="7" t="s">
        <v>553</v>
      </c>
      <c r="I106" s="7" t="s">
        <v>64</v>
      </c>
      <c r="J106" s="8">
        <v>13</v>
      </c>
      <c r="K106" s="9">
        <f t="shared" si="4"/>
        <v>2018</v>
      </c>
      <c r="L106" s="9">
        <f t="shared" si="4"/>
        <v>2024</v>
      </c>
      <c r="M106" s="9">
        <f t="shared" si="5"/>
        <v>6</v>
      </c>
      <c r="N106" s="10" t="s">
        <v>47</v>
      </c>
      <c r="O106" s="10" t="s">
        <v>78</v>
      </c>
      <c r="P106" s="10" t="s">
        <v>40</v>
      </c>
      <c r="Q106" s="11">
        <v>80</v>
      </c>
      <c r="R106" s="12">
        <v>40</v>
      </c>
      <c r="S106" s="8">
        <v>4</v>
      </c>
      <c r="T106" s="8">
        <v>6</v>
      </c>
      <c r="U106" s="8">
        <v>4</v>
      </c>
      <c r="V106" s="8">
        <v>3</v>
      </c>
      <c r="W106" s="8">
        <v>5</v>
      </c>
      <c r="X106" s="8">
        <v>4</v>
      </c>
      <c r="Y106" s="13">
        <f t="shared" si="6"/>
        <v>0.5</v>
      </c>
      <c r="Z106" s="13">
        <f t="shared" si="6"/>
        <v>-0.33333333333333331</v>
      </c>
      <c r="AA106" s="14">
        <f t="shared" si="7"/>
        <v>0.83333333333333337</v>
      </c>
      <c r="AB106" s="15">
        <v>0.4</v>
      </c>
      <c r="AC106" s="16">
        <v>60</v>
      </c>
      <c r="AD106" s="16">
        <v>50</v>
      </c>
      <c r="AE106" s="17">
        <v>0.5</v>
      </c>
    </row>
    <row r="107" spans="1:31" ht="37.950000000000003" customHeight="1" x14ac:dyDescent="0.3">
      <c r="A107" s="18">
        <v>104</v>
      </c>
      <c r="B107" s="19" t="s">
        <v>554</v>
      </c>
      <c r="C107" s="19" t="s">
        <v>555</v>
      </c>
      <c r="D107" s="19">
        <v>2017</v>
      </c>
      <c r="E107" s="19">
        <v>2024</v>
      </c>
      <c r="F107" s="19" t="s">
        <v>556</v>
      </c>
      <c r="G107" s="19" t="s">
        <v>557</v>
      </c>
      <c r="H107" s="19" t="s">
        <v>558</v>
      </c>
      <c r="I107" s="19" t="s">
        <v>64</v>
      </c>
      <c r="J107" s="20">
        <v>4</v>
      </c>
      <c r="K107" s="21">
        <f t="shared" si="4"/>
        <v>2017</v>
      </c>
      <c r="L107" s="21">
        <f t="shared" si="4"/>
        <v>2024</v>
      </c>
      <c r="M107" s="21">
        <f t="shared" si="5"/>
        <v>7</v>
      </c>
      <c r="N107" s="22" t="s">
        <v>559</v>
      </c>
      <c r="O107" s="22" t="s">
        <v>78</v>
      </c>
      <c r="P107" s="22" t="s">
        <v>40</v>
      </c>
      <c r="Q107" s="23">
        <v>60</v>
      </c>
      <c r="R107" s="24">
        <v>15</v>
      </c>
      <c r="S107" s="20">
        <v>0.3</v>
      </c>
      <c r="T107" s="20">
        <v>0.5</v>
      </c>
      <c r="U107" s="20">
        <v>0.3</v>
      </c>
      <c r="V107" s="20">
        <v>1</v>
      </c>
      <c r="W107" s="20">
        <v>1.5</v>
      </c>
      <c r="X107" s="20">
        <v>1</v>
      </c>
      <c r="Y107" s="25">
        <f t="shared" si="6"/>
        <v>0.66666666666666674</v>
      </c>
      <c r="Z107" s="25">
        <f t="shared" si="6"/>
        <v>-0.4</v>
      </c>
      <c r="AA107" s="26">
        <f t="shared" si="7"/>
        <v>3</v>
      </c>
      <c r="AB107" s="27">
        <v>0.1</v>
      </c>
      <c r="AC107" s="28">
        <v>60</v>
      </c>
      <c r="AD107" s="28">
        <v>70</v>
      </c>
      <c r="AE107" s="29">
        <v>0.05</v>
      </c>
    </row>
    <row r="108" spans="1:31" ht="37.950000000000003" customHeight="1" x14ac:dyDescent="0.3">
      <c r="A108" s="6">
        <v>105</v>
      </c>
      <c r="B108" s="7" t="s">
        <v>560</v>
      </c>
      <c r="C108" s="7" t="s">
        <v>561</v>
      </c>
      <c r="D108" s="7">
        <v>2017</v>
      </c>
      <c r="E108" s="7">
        <v>2022</v>
      </c>
      <c r="F108" s="7" t="s">
        <v>474</v>
      </c>
      <c r="G108" s="7" t="s">
        <v>562</v>
      </c>
      <c r="H108" s="7" t="s">
        <v>563</v>
      </c>
      <c r="I108" s="7" t="s">
        <v>64</v>
      </c>
      <c r="J108" s="8">
        <v>5</v>
      </c>
      <c r="K108" s="9">
        <f t="shared" si="4"/>
        <v>2017</v>
      </c>
      <c r="L108" s="9">
        <f t="shared" si="4"/>
        <v>2022</v>
      </c>
      <c r="M108" s="9">
        <f t="shared" si="5"/>
        <v>5</v>
      </c>
      <c r="N108" s="10" t="s">
        <v>38</v>
      </c>
      <c r="O108" s="10" t="s">
        <v>78</v>
      </c>
      <c r="P108" s="10" t="s">
        <v>86</v>
      </c>
      <c r="Q108" s="11">
        <v>50</v>
      </c>
      <c r="R108" s="12">
        <v>20</v>
      </c>
      <c r="S108" s="8">
        <v>0.5</v>
      </c>
      <c r="T108" s="8">
        <v>0.2</v>
      </c>
      <c r="U108" s="8">
        <v>0</v>
      </c>
      <c r="V108" s="8">
        <v>2</v>
      </c>
      <c r="W108" s="8">
        <v>3</v>
      </c>
      <c r="X108" s="8">
        <v>0</v>
      </c>
      <c r="Y108" s="13">
        <f t="shared" si="6"/>
        <v>-0.6</v>
      </c>
      <c r="Z108" s="13">
        <f t="shared" si="6"/>
        <v>-1</v>
      </c>
      <c r="AA108" s="14">
        <f t="shared" si="7"/>
        <v>15</v>
      </c>
      <c r="AB108" s="15">
        <v>0.25</v>
      </c>
      <c r="AC108" s="16">
        <v>70</v>
      </c>
      <c r="AD108" s="16">
        <v>100</v>
      </c>
      <c r="AE108" s="17">
        <v>0.1</v>
      </c>
    </row>
    <row r="109" spans="1:31" ht="37.950000000000003" customHeight="1" x14ac:dyDescent="0.3">
      <c r="A109" s="18">
        <v>106</v>
      </c>
      <c r="B109" s="19" t="s">
        <v>564</v>
      </c>
      <c r="C109" s="19" t="s">
        <v>561</v>
      </c>
      <c r="D109" s="19">
        <v>2016</v>
      </c>
      <c r="E109" s="19">
        <v>2022</v>
      </c>
      <c r="F109" s="19" t="s">
        <v>565</v>
      </c>
      <c r="G109" s="19" t="s">
        <v>566</v>
      </c>
      <c r="H109" s="19" t="s">
        <v>567</v>
      </c>
      <c r="I109" s="19" t="s">
        <v>64</v>
      </c>
      <c r="J109" s="20">
        <v>10</v>
      </c>
      <c r="K109" s="21">
        <f t="shared" si="4"/>
        <v>2016</v>
      </c>
      <c r="L109" s="21">
        <f t="shared" si="4"/>
        <v>2022</v>
      </c>
      <c r="M109" s="21">
        <f t="shared" si="5"/>
        <v>6</v>
      </c>
      <c r="N109" s="22" t="s">
        <v>38</v>
      </c>
      <c r="O109" s="22" t="s">
        <v>78</v>
      </c>
      <c r="P109" s="22" t="s">
        <v>86</v>
      </c>
      <c r="Q109" s="23">
        <v>100</v>
      </c>
      <c r="R109" s="24">
        <v>50</v>
      </c>
      <c r="S109" s="20">
        <v>1</v>
      </c>
      <c r="T109" s="20">
        <v>0.5</v>
      </c>
      <c r="U109" s="20">
        <v>0</v>
      </c>
      <c r="V109" s="20">
        <v>3</v>
      </c>
      <c r="W109" s="20">
        <v>4</v>
      </c>
      <c r="X109" s="20">
        <v>0</v>
      </c>
      <c r="Y109" s="25">
        <f t="shared" si="6"/>
        <v>-0.5</v>
      </c>
      <c r="Z109" s="25">
        <f t="shared" si="6"/>
        <v>-1</v>
      </c>
      <c r="AA109" s="26">
        <f t="shared" si="7"/>
        <v>8</v>
      </c>
      <c r="AB109" s="27">
        <v>0.3</v>
      </c>
      <c r="AC109" s="28">
        <v>65</v>
      </c>
      <c r="AD109" s="28">
        <v>100</v>
      </c>
      <c r="AE109" s="29">
        <v>0.3</v>
      </c>
    </row>
    <row r="110" spans="1:31" ht="37.950000000000003" customHeight="1" x14ac:dyDescent="0.3">
      <c r="A110" s="6">
        <v>107</v>
      </c>
      <c r="B110" s="7" t="s">
        <v>568</v>
      </c>
      <c r="C110" s="7" t="s">
        <v>569</v>
      </c>
      <c r="D110" s="7">
        <v>2020</v>
      </c>
      <c r="E110" s="7">
        <v>2024</v>
      </c>
      <c r="F110" s="7" t="s">
        <v>570</v>
      </c>
      <c r="G110" s="7" t="s">
        <v>571</v>
      </c>
      <c r="H110" s="7" t="s">
        <v>572</v>
      </c>
      <c r="I110" s="7" t="s">
        <v>64</v>
      </c>
      <c r="J110" s="8">
        <v>45</v>
      </c>
      <c r="K110" s="9">
        <f t="shared" si="4"/>
        <v>2020</v>
      </c>
      <c r="L110" s="9">
        <f t="shared" si="4"/>
        <v>2024</v>
      </c>
      <c r="M110" s="9">
        <f t="shared" si="5"/>
        <v>4</v>
      </c>
      <c r="N110" s="10" t="s">
        <v>38</v>
      </c>
      <c r="O110" s="10" t="s">
        <v>78</v>
      </c>
      <c r="P110" s="10" t="s">
        <v>79</v>
      </c>
      <c r="Q110" s="11">
        <v>100</v>
      </c>
      <c r="R110" s="12">
        <v>150</v>
      </c>
      <c r="S110" s="8">
        <v>5</v>
      </c>
      <c r="T110" s="8">
        <v>4</v>
      </c>
      <c r="U110" s="8">
        <v>2</v>
      </c>
      <c r="V110" s="8">
        <v>6</v>
      </c>
      <c r="W110" s="8">
        <v>9</v>
      </c>
      <c r="X110" s="8">
        <v>6</v>
      </c>
      <c r="Y110" s="13">
        <f t="shared" si="6"/>
        <v>-0.2</v>
      </c>
      <c r="Z110" s="13">
        <f t="shared" si="6"/>
        <v>-0.5</v>
      </c>
      <c r="AA110" s="14">
        <f t="shared" si="7"/>
        <v>2.25</v>
      </c>
      <c r="AB110" s="15">
        <v>0.8</v>
      </c>
      <c r="AC110" s="16">
        <v>60</v>
      </c>
      <c r="AD110" s="16">
        <v>70</v>
      </c>
      <c r="AE110" s="17">
        <v>0.1</v>
      </c>
    </row>
    <row r="111" spans="1:31" ht="37.950000000000003" customHeight="1" x14ac:dyDescent="0.3">
      <c r="A111" s="18">
        <v>108</v>
      </c>
      <c r="B111" s="19" t="s">
        <v>573</v>
      </c>
      <c r="C111" s="19" t="s">
        <v>574</v>
      </c>
      <c r="D111" s="19">
        <v>2015</v>
      </c>
      <c r="E111" s="19">
        <v>2024</v>
      </c>
      <c r="F111" s="19" t="s">
        <v>466</v>
      </c>
      <c r="G111" s="19" t="s">
        <v>575</v>
      </c>
      <c r="H111" s="19" t="s">
        <v>576</v>
      </c>
      <c r="I111" s="19" t="s">
        <v>64</v>
      </c>
      <c r="J111" s="20">
        <v>15</v>
      </c>
      <c r="K111" s="21">
        <f t="shared" si="4"/>
        <v>2015</v>
      </c>
      <c r="L111" s="21">
        <f t="shared" si="4"/>
        <v>2024</v>
      </c>
      <c r="M111" s="21">
        <f t="shared" si="5"/>
        <v>9</v>
      </c>
      <c r="N111" s="22" t="s">
        <v>38</v>
      </c>
      <c r="O111" s="22" t="s">
        <v>48</v>
      </c>
      <c r="P111" s="22" t="s">
        <v>195</v>
      </c>
      <c r="Q111" s="23">
        <v>200</v>
      </c>
      <c r="R111" s="24">
        <v>60</v>
      </c>
      <c r="S111" s="20">
        <v>3</v>
      </c>
      <c r="T111" s="20">
        <v>5</v>
      </c>
      <c r="U111" s="20">
        <v>3</v>
      </c>
      <c r="V111" s="20">
        <v>4</v>
      </c>
      <c r="W111" s="20">
        <v>6</v>
      </c>
      <c r="X111" s="20">
        <v>5</v>
      </c>
      <c r="Y111" s="25">
        <f t="shared" si="6"/>
        <v>0.66666666666666663</v>
      </c>
      <c r="Z111" s="25">
        <f t="shared" si="6"/>
        <v>-0.4</v>
      </c>
      <c r="AA111" s="26">
        <f t="shared" si="7"/>
        <v>1.2</v>
      </c>
      <c r="AB111" s="27">
        <v>0.5</v>
      </c>
      <c r="AC111" s="28">
        <v>60</v>
      </c>
      <c r="AD111" s="28">
        <v>50</v>
      </c>
      <c r="AE111" s="29">
        <v>1.5</v>
      </c>
    </row>
    <row r="112" spans="1:31" ht="37.950000000000003" customHeight="1" x14ac:dyDescent="0.3">
      <c r="A112" s="6">
        <v>109</v>
      </c>
      <c r="B112" s="7" t="s">
        <v>577</v>
      </c>
      <c r="C112" s="7" t="s">
        <v>578</v>
      </c>
      <c r="D112" s="7">
        <v>2023</v>
      </c>
      <c r="E112" s="7">
        <v>2025</v>
      </c>
      <c r="F112" s="7" t="s">
        <v>579</v>
      </c>
      <c r="G112" s="7" t="s">
        <v>580</v>
      </c>
      <c r="H112" s="7" t="s">
        <v>581</v>
      </c>
      <c r="I112" s="7" t="s">
        <v>64</v>
      </c>
      <c r="J112" s="8">
        <v>50</v>
      </c>
      <c r="K112" s="9">
        <f t="shared" si="4"/>
        <v>2023</v>
      </c>
      <c r="L112" s="9">
        <f t="shared" si="4"/>
        <v>2025</v>
      </c>
      <c r="M112" s="9">
        <f t="shared" si="5"/>
        <v>2</v>
      </c>
      <c r="N112" s="10" t="s">
        <v>38</v>
      </c>
      <c r="O112" s="10" t="s">
        <v>78</v>
      </c>
      <c r="P112" s="10" t="s">
        <v>79</v>
      </c>
      <c r="Q112" s="11">
        <v>200</v>
      </c>
      <c r="R112" s="12">
        <v>1000</v>
      </c>
      <c r="S112" s="8">
        <v>0</v>
      </c>
      <c r="T112" s="8">
        <v>5</v>
      </c>
      <c r="U112" s="8">
        <v>2</v>
      </c>
      <c r="V112" s="8">
        <v>0</v>
      </c>
      <c r="W112" s="8">
        <v>25</v>
      </c>
      <c r="X112" s="8">
        <v>18</v>
      </c>
      <c r="Y112" s="13" t="str">
        <f t="shared" si="6"/>
        <v>n/a</v>
      </c>
      <c r="Z112" s="13">
        <f t="shared" si="6"/>
        <v>-0.6</v>
      </c>
      <c r="AA112" s="14">
        <f t="shared" si="7"/>
        <v>5</v>
      </c>
      <c r="AB112" s="15">
        <v>2</v>
      </c>
      <c r="AC112" s="16">
        <v>75</v>
      </c>
      <c r="AD112" s="16">
        <v>40</v>
      </c>
      <c r="AE112" s="17">
        <v>0.5</v>
      </c>
    </row>
    <row r="113" spans="1:31" ht="37.950000000000003" customHeight="1" x14ac:dyDescent="0.3">
      <c r="A113" s="18">
        <v>110</v>
      </c>
      <c r="B113" s="19" t="s">
        <v>582</v>
      </c>
      <c r="C113" s="19" t="s">
        <v>583</v>
      </c>
      <c r="D113" s="19">
        <v>2017</v>
      </c>
      <c r="E113" s="19">
        <v>2024</v>
      </c>
      <c r="F113" s="19" t="s">
        <v>584</v>
      </c>
      <c r="G113" s="19" t="s">
        <v>585</v>
      </c>
      <c r="H113" s="19" t="s">
        <v>586</v>
      </c>
      <c r="I113" s="19" t="s">
        <v>64</v>
      </c>
      <c r="J113" s="20">
        <v>0</v>
      </c>
      <c r="K113" s="21">
        <f t="shared" si="4"/>
        <v>2017</v>
      </c>
      <c r="L113" s="21">
        <f t="shared" si="4"/>
        <v>2024</v>
      </c>
      <c r="M113" s="21">
        <f t="shared" si="5"/>
        <v>7</v>
      </c>
      <c r="N113" s="22" t="s">
        <v>56</v>
      </c>
      <c r="O113" s="22" t="s">
        <v>78</v>
      </c>
      <c r="P113" s="22" t="s">
        <v>86</v>
      </c>
      <c r="Q113" s="23">
        <v>250</v>
      </c>
      <c r="R113" s="24">
        <v>0</v>
      </c>
      <c r="S113" s="20">
        <v>20</v>
      </c>
      <c r="T113" s="20">
        <v>30</v>
      </c>
      <c r="U113" s="20">
        <v>5</v>
      </c>
      <c r="V113" s="20">
        <v>10</v>
      </c>
      <c r="W113" s="20">
        <v>8</v>
      </c>
      <c r="X113" s="20">
        <v>300</v>
      </c>
      <c r="Y113" s="25">
        <f t="shared" si="6"/>
        <v>0.5</v>
      </c>
      <c r="Z113" s="25">
        <f t="shared" si="6"/>
        <v>-0.83333333333333337</v>
      </c>
      <c r="AA113" s="26">
        <f t="shared" si="7"/>
        <v>0.26666666666666666</v>
      </c>
      <c r="AB113" s="27">
        <v>5</v>
      </c>
      <c r="AC113" s="28">
        <v>80</v>
      </c>
      <c r="AD113" s="28">
        <v>50</v>
      </c>
      <c r="AE113" s="29">
        <v>16</v>
      </c>
    </row>
    <row r="114" spans="1:31" ht="37.950000000000003" customHeight="1" x14ac:dyDescent="0.3">
      <c r="A114" s="6">
        <v>111</v>
      </c>
      <c r="B114" s="7" t="s">
        <v>587</v>
      </c>
      <c r="C114" s="7" t="s">
        <v>588</v>
      </c>
      <c r="D114" s="7">
        <v>2020</v>
      </c>
      <c r="E114" s="7">
        <v>2024</v>
      </c>
      <c r="F114" s="7" t="s">
        <v>589</v>
      </c>
      <c r="G114" s="7" t="s">
        <v>590</v>
      </c>
      <c r="H114" s="7" t="s">
        <v>591</v>
      </c>
      <c r="I114" s="7" t="s">
        <v>64</v>
      </c>
      <c r="J114" s="8">
        <v>700</v>
      </c>
      <c r="K114" s="9">
        <f t="shared" si="4"/>
        <v>2020</v>
      </c>
      <c r="L114" s="9">
        <f t="shared" si="4"/>
        <v>2024</v>
      </c>
      <c r="M114" s="9">
        <f t="shared" si="5"/>
        <v>4</v>
      </c>
      <c r="N114" s="10" t="s">
        <v>219</v>
      </c>
      <c r="O114" s="10" t="s">
        <v>220</v>
      </c>
      <c r="P114" s="10" t="s">
        <v>86</v>
      </c>
      <c r="Q114" s="11">
        <v>300</v>
      </c>
      <c r="R114" s="12">
        <v>2850</v>
      </c>
      <c r="S114" s="8">
        <v>3</v>
      </c>
      <c r="T114" s="8">
        <v>4</v>
      </c>
      <c r="U114" s="8">
        <v>1</v>
      </c>
      <c r="V114" s="8">
        <v>8</v>
      </c>
      <c r="W114" s="8">
        <v>12</v>
      </c>
      <c r="X114" s="8">
        <v>4</v>
      </c>
      <c r="Y114" s="13">
        <f t="shared" si="6"/>
        <v>0.33333333333333331</v>
      </c>
      <c r="Z114" s="13">
        <f t="shared" si="6"/>
        <v>-0.75</v>
      </c>
      <c r="AA114" s="14">
        <f t="shared" si="7"/>
        <v>3</v>
      </c>
      <c r="AB114" s="15">
        <v>1</v>
      </c>
      <c r="AC114" s="16">
        <v>70</v>
      </c>
      <c r="AD114" s="16">
        <v>60</v>
      </c>
      <c r="AE114" s="17">
        <v>1</v>
      </c>
    </row>
    <row r="115" spans="1:31" ht="37.950000000000003" customHeight="1" x14ac:dyDescent="0.3">
      <c r="A115" s="18">
        <v>112</v>
      </c>
      <c r="B115" s="19" t="s">
        <v>592</v>
      </c>
      <c r="C115" s="19" t="s">
        <v>153</v>
      </c>
      <c r="D115" s="19">
        <v>2015</v>
      </c>
      <c r="E115" s="19">
        <v>2023</v>
      </c>
      <c r="F115" s="19" t="s">
        <v>593</v>
      </c>
      <c r="G115" s="19" t="s">
        <v>594</v>
      </c>
      <c r="H115" s="19" t="s">
        <v>595</v>
      </c>
      <c r="I115" s="19" t="s">
        <v>64</v>
      </c>
      <c r="J115" s="20">
        <v>4</v>
      </c>
      <c r="K115" s="21">
        <f t="shared" si="4"/>
        <v>2015</v>
      </c>
      <c r="L115" s="21">
        <f t="shared" si="4"/>
        <v>2023</v>
      </c>
      <c r="M115" s="21">
        <f t="shared" si="5"/>
        <v>8</v>
      </c>
      <c r="N115" s="22" t="s">
        <v>219</v>
      </c>
      <c r="O115" s="22" t="s">
        <v>78</v>
      </c>
      <c r="P115" s="22" t="s">
        <v>195</v>
      </c>
      <c r="Q115" s="23">
        <v>100</v>
      </c>
      <c r="R115" s="24">
        <v>50</v>
      </c>
      <c r="S115" s="20">
        <v>1</v>
      </c>
      <c r="T115" s="20">
        <v>0.5</v>
      </c>
      <c r="U115" s="20">
        <v>0</v>
      </c>
      <c r="V115" s="20">
        <v>2</v>
      </c>
      <c r="W115" s="20">
        <v>3</v>
      </c>
      <c r="X115" s="20">
        <v>0</v>
      </c>
      <c r="Y115" s="25">
        <f t="shared" si="6"/>
        <v>-0.5</v>
      </c>
      <c r="Z115" s="25">
        <f t="shared" si="6"/>
        <v>-1</v>
      </c>
      <c r="AA115" s="26">
        <f t="shared" si="7"/>
        <v>6</v>
      </c>
      <c r="AB115" s="27">
        <v>0.25</v>
      </c>
      <c r="AC115" s="28">
        <v>60</v>
      </c>
      <c r="AD115" s="28">
        <v>100</v>
      </c>
      <c r="AE115" s="29">
        <v>0.1</v>
      </c>
    </row>
    <row r="116" spans="1:31" ht="37.950000000000003" customHeight="1" x14ac:dyDescent="0.3">
      <c r="A116" s="6">
        <v>113</v>
      </c>
      <c r="B116" s="7" t="s">
        <v>596</v>
      </c>
      <c r="C116" s="7" t="s">
        <v>597</v>
      </c>
      <c r="D116" s="7">
        <v>2017</v>
      </c>
      <c r="E116" s="7">
        <v>2024</v>
      </c>
      <c r="F116" s="7" t="s">
        <v>598</v>
      </c>
      <c r="G116" s="7" t="s">
        <v>599</v>
      </c>
      <c r="H116" s="7" t="s">
        <v>600</v>
      </c>
      <c r="I116" s="7" t="s">
        <v>64</v>
      </c>
      <c r="J116" s="8">
        <v>87</v>
      </c>
      <c r="K116" s="9">
        <f t="shared" si="4"/>
        <v>2017</v>
      </c>
      <c r="L116" s="9">
        <f t="shared" si="4"/>
        <v>2024</v>
      </c>
      <c r="M116" s="9">
        <f t="shared" si="5"/>
        <v>7</v>
      </c>
      <c r="N116" s="10" t="s">
        <v>38</v>
      </c>
      <c r="O116" s="10" t="s">
        <v>48</v>
      </c>
      <c r="P116" s="10" t="s">
        <v>79</v>
      </c>
      <c r="Q116" s="11">
        <v>700</v>
      </c>
      <c r="R116" s="12">
        <v>300</v>
      </c>
      <c r="S116" s="8">
        <v>1.5</v>
      </c>
      <c r="T116" s="8">
        <v>1</v>
      </c>
      <c r="U116" s="8">
        <v>0.3</v>
      </c>
      <c r="V116" s="8">
        <v>10</v>
      </c>
      <c r="W116" s="8">
        <v>12</v>
      </c>
      <c r="X116" s="8">
        <v>5</v>
      </c>
      <c r="Y116" s="13">
        <f t="shared" si="6"/>
        <v>-0.33333333333333331</v>
      </c>
      <c r="Z116" s="13">
        <f t="shared" si="6"/>
        <v>-0.7</v>
      </c>
      <c r="AA116" s="14">
        <f t="shared" si="7"/>
        <v>12</v>
      </c>
      <c r="AB116" s="15">
        <v>1</v>
      </c>
      <c r="AC116" s="16">
        <v>80</v>
      </c>
      <c r="AD116" s="16">
        <v>85</v>
      </c>
      <c r="AE116" s="17">
        <v>38</v>
      </c>
    </row>
    <row r="117" spans="1:31" ht="37.950000000000003" customHeight="1" x14ac:dyDescent="0.3">
      <c r="A117" s="18">
        <v>114</v>
      </c>
      <c r="B117" s="19" t="s">
        <v>601</v>
      </c>
      <c r="C117" s="19" t="s">
        <v>602</v>
      </c>
      <c r="D117" s="19">
        <v>2018</v>
      </c>
      <c r="E117" s="19">
        <v>2023</v>
      </c>
      <c r="F117" s="19" t="s">
        <v>603</v>
      </c>
      <c r="G117" s="19" t="s">
        <v>604</v>
      </c>
      <c r="H117" s="19" t="s">
        <v>605</v>
      </c>
      <c r="I117" s="19" t="s">
        <v>64</v>
      </c>
      <c r="J117" s="20">
        <v>187</v>
      </c>
      <c r="K117" s="21">
        <f t="shared" si="4"/>
        <v>2018</v>
      </c>
      <c r="L117" s="21">
        <f t="shared" si="4"/>
        <v>2023</v>
      </c>
      <c r="M117" s="21">
        <f t="shared" si="5"/>
        <v>5</v>
      </c>
      <c r="N117" s="22" t="s">
        <v>38</v>
      </c>
      <c r="O117" s="22" t="s">
        <v>116</v>
      </c>
      <c r="P117" s="22" t="s">
        <v>272</v>
      </c>
      <c r="Q117" s="23">
        <v>600</v>
      </c>
      <c r="R117" s="24">
        <v>600</v>
      </c>
      <c r="S117" s="20">
        <v>5</v>
      </c>
      <c r="T117" s="20">
        <v>7</v>
      </c>
      <c r="U117" s="20">
        <v>4</v>
      </c>
      <c r="V117" s="20">
        <v>15</v>
      </c>
      <c r="W117" s="20">
        <v>18</v>
      </c>
      <c r="X117" s="20">
        <v>10</v>
      </c>
      <c r="Y117" s="25">
        <f t="shared" si="6"/>
        <v>0.4</v>
      </c>
      <c r="Z117" s="25">
        <f t="shared" si="6"/>
        <v>-0.42857142857142855</v>
      </c>
      <c r="AA117" s="26">
        <f t="shared" si="7"/>
        <v>2.5714285714285716</v>
      </c>
      <c r="AB117" s="27">
        <v>1.5</v>
      </c>
      <c r="AC117" s="28">
        <v>75</v>
      </c>
      <c r="AD117" s="28">
        <v>50</v>
      </c>
      <c r="AE117" s="29">
        <v>50</v>
      </c>
    </row>
    <row r="118" spans="1:31" ht="37.950000000000003" customHeight="1" x14ac:dyDescent="0.3">
      <c r="A118" s="6">
        <v>115</v>
      </c>
      <c r="B118" s="7" t="s">
        <v>606</v>
      </c>
      <c r="C118" s="7" t="s">
        <v>607</v>
      </c>
      <c r="D118" s="7">
        <v>2019</v>
      </c>
      <c r="E118" s="7">
        <v>2024</v>
      </c>
      <c r="F118" s="7" t="s">
        <v>608</v>
      </c>
      <c r="G118" s="7" t="s">
        <v>609</v>
      </c>
      <c r="H118" s="7" t="s">
        <v>610</v>
      </c>
      <c r="I118" s="7" t="s">
        <v>64</v>
      </c>
      <c r="J118" s="8">
        <v>31</v>
      </c>
      <c r="K118" s="9">
        <f t="shared" si="4"/>
        <v>2019</v>
      </c>
      <c r="L118" s="9">
        <f t="shared" si="4"/>
        <v>2024</v>
      </c>
      <c r="M118" s="9">
        <f t="shared" si="5"/>
        <v>5</v>
      </c>
      <c r="N118" s="10" t="s">
        <v>47</v>
      </c>
      <c r="O118" s="10" t="s">
        <v>78</v>
      </c>
      <c r="P118" s="10" t="s">
        <v>79</v>
      </c>
      <c r="Q118" s="11">
        <v>300</v>
      </c>
      <c r="R118" s="12">
        <v>100</v>
      </c>
      <c r="S118" s="8">
        <v>4</v>
      </c>
      <c r="T118" s="8">
        <v>6</v>
      </c>
      <c r="U118" s="8">
        <v>2</v>
      </c>
      <c r="V118" s="8">
        <v>5</v>
      </c>
      <c r="W118" s="8">
        <v>8</v>
      </c>
      <c r="X118" s="8">
        <v>5</v>
      </c>
      <c r="Y118" s="13">
        <f t="shared" si="6"/>
        <v>0.5</v>
      </c>
      <c r="Z118" s="13">
        <f t="shared" si="6"/>
        <v>-0.66666666666666663</v>
      </c>
      <c r="AA118" s="14">
        <f t="shared" si="7"/>
        <v>1.3333333333333333</v>
      </c>
      <c r="AB118" s="15">
        <v>0.6</v>
      </c>
      <c r="AC118" s="16">
        <v>70</v>
      </c>
      <c r="AD118" s="16">
        <v>85</v>
      </c>
      <c r="AE118" s="17">
        <v>0.3</v>
      </c>
    </row>
    <row r="119" spans="1:31" ht="37.950000000000003" customHeight="1" x14ac:dyDescent="0.3">
      <c r="A119" s="18">
        <v>116</v>
      </c>
      <c r="B119" s="19" t="s">
        <v>611</v>
      </c>
      <c r="C119" s="19" t="s">
        <v>612</v>
      </c>
      <c r="D119" s="19">
        <v>2021</v>
      </c>
      <c r="E119" s="19">
        <v>2024</v>
      </c>
      <c r="F119" s="19" t="s">
        <v>403</v>
      </c>
      <c r="G119" s="19" t="s">
        <v>613</v>
      </c>
      <c r="H119" s="19" t="s">
        <v>614</v>
      </c>
      <c r="I119" s="19" t="s">
        <v>64</v>
      </c>
      <c r="J119" s="20">
        <v>3</v>
      </c>
      <c r="K119" s="21">
        <f t="shared" si="4"/>
        <v>2021</v>
      </c>
      <c r="L119" s="21">
        <f t="shared" si="4"/>
        <v>2024</v>
      </c>
      <c r="M119" s="21">
        <f t="shared" si="5"/>
        <v>3</v>
      </c>
      <c r="N119" s="22" t="s">
        <v>47</v>
      </c>
      <c r="O119" s="22" t="s">
        <v>93</v>
      </c>
      <c r="P119" s="22" t="s">
        <v>40</v>
      </c>
      <c r="Q119" s="23">
        <v>40</v>
      </c>
      <c r="R119" s="24">
        <v>12</v>
      </c>
      <c r="S119" s="20">
        <v>0.1</v>
      </c>
      <c r="T119" s="20">
        <v>0.2</v>
      </c>
      <c r="U119" s="20">
        <v>0.1</v>
      </c>
      <c r="V119" s="20">
        <v>0.3</v>
      </c>
      <c r="W119" s="20">
        <v>0.5</v>
      </c>
      <c r="X119" s="20">
        <v>0.4</v>
      </c>
      <c r="Y119" s="25">
        <f t="shared" si="6"/>
        <v>1</v>
      </c>
      <c r="Z119" s="25">
        <f t="shared" si="6"/>
        <v>-0.5</v>
      </c>
      <c r="AA119" s="26">
        <f t="shared" si="7"/>
        <v>2.5</v>
      </c>
      <c r="AB119" s="27">
        <v>0.04</v>
      </c>
      <c r="AC119" s="28">
        <v>60</v>
      </c>
      <c r="AD119" s="28">
        <v>100</v>
      </c>
      <c r="AE119" s="29">
        <v>0.05</v>
      </c>
    </row>
    <row r="120" spans="1:31" ht="37.950000000000003" customHeight="1" x14ac:dyDescent="0.3">
      <c r="A120" s="6">
        <v>117</v>
      </c>
      <c r="B120" s="7" t="s">
        <v>615</v>
      </c>
      <c r="C120" s="7" t="s">
        <v>616</v>
      </c>
      <c r="D120" s="7">
        <v>2017</v>
      </c>
      <c r="E120" s="7">
        <v>2023</v>
      </c>
      <c r="F120" s="7" t="s">
        <v>617</v>
      </c>
      <c r="G120" s="7" t="s">
        <v>618</v>
      </c>
      <c r="H120" s="7" t="s">
        <v>619</v>
      </c>
      <c r="I120" s="7" t="s">
        <v>64</v>
      </c>
      <c r="J120" s="8">
        <v>3.7</v>
      </c>
      <c r="K120" s="9">
        <f t="shared" si="4"/>
        <v>2017</v>
      </c>
      <c r="L120" s="9">
        <f t="shared" si="4"/>
        <v>2023</v>
      </c>
      <c r="M120" s="9">
        <f t="shared" si="5"/>
        <v>6</v>
      </c>
      <c r="N120" s="10" t="s">
        <v>38</v>
      </c>
      <c r="O120" s="10" t="s">
        <v>78</v>
      </c>
      <c r="P120" s="10" t="s">
        <v>40</v>
      </c>
      <c r="Q120" s="11">
        <v>80</v>
      </c>
      <c r="R120" s="12">
        <v>20</v>
      </c>
      <c r="S120" s="8">
        <v>0.3</v>
      </c>
      <c r="T120" s="8">
        <v>0.2</v>
      </c>
      <c r="U120" s="8">
        <v>0</v>
      </c>
      <c r="V120" s="8">
        <v>1</v>
      </c>
      <c r="W120" s="8">
        <v>1.5</v>
      </c>
      <c r="X120" s="8">
        <v>0</v>
      </c>
      <c r="Y120" s="13">
        <f t="shared" si="6"/>
        <v>-0.33333333333333326</v>
      </c>
      <c r="Z120" s="13">
        <f t="shared" si="6"/>
        <v>-1</v>
      </c>
      <c r="AA120" s="14">
        <f t="shared" si="7"/>
        <v>7.5</v>
      </c>
      <c r="AB120" s="15">
        <v>0.13</v>
      </c>
      <c r="AC120" s="16">
        <v>70</v>
      </c>
      <c r="AD120" s="16">
        <v>100</v>
      </c>
      <c r="AE120" s="17">
        <v>0.5</v>
      </c>
    </row>
    <row r="121" spans="1:31" ht="37.950000000000003" customHeight="1" x14ac:dyDescent="0.3">
      <c r="A121" s="18">
        <v>118</v>
      </c>
      <c r="B121" s="19" t="s">
        <v>620</v>
      </c>
      <c r="C121" s="19" t="s">
        <v>621</v>
      </c>
      <c r="D121" s="19">
        <v>2017</v>
      </c>
      <c r="E121" s="19">
        <v>2024</v>
      </c>
      <c r="F121" s="19" t="s">
        <v>487</v>
      </c>
      <c r="G121" s="19" t="s">
        <v>622</v>
      </c>
      <c r="H121" s="19" t="s">
        <v>623</v>
      </c>
      <c r="I121" s="19" t="s">
        <v>64</v>
      </c>
      <c r="J121" s="20">
        <v>33</v>
      </c>
      <c r="K121" s="21">
        <f t="shared" si="4"/>
        <v>2017</v>
      </c>
      <c r="L121" s="21">
        <f t="shared" si="4"/>
        <v>2024</v>
      </c>
      <c r="M121" s="21">
        <f t="shared" si="5"/>
        <v>7</v>
      </c>
      <c r="N121" s="22" t="s">
        <v>38</v>
      </c>
      <c r="O121" s="22" t="s">
        <v>48</v>
      </c>
      <c r="P121" s="22" t="s">
        <v>58</v>
      </c>
      <c r="Q121" s="23">
        <v>300</v>
      </c>
      <c r="R121" s="24">
        <v>110</v>
      </c>
      <c r="S121" s="20">
        <v>5</v>
      </c>
      <c r="T121" s="20">
        <v>4</v>
      </c>
      <c r="U121" s="20">
        <v>1</v>
      </c>
      <c r="V121" s="20">
        <v>12</v>
      </c>
      <c r="W121" s="20">
        <v>15</v>
      </c>
      <c r="X121" s="20">
        <v>8</v>
      </c>
      <c r="Y121" s="25">
        <f t="shared" si="6"/>
        <v>-0.2</v>
      </c>
      <c r="Z121" s="25">
        <f t="shared" si="6"/>
        <v>-0.75</v>
      </c>
      <c r="AA121" s="26">
        <f t="shared" si="7"/>
        <v>3.75</v>
      </c>
      <c r="AB121" s="27">
        <v>1.2</v>
      </c>
      <c r="AC121" s="28">
        <v>80</v>
      </c>
      <c r="AD121" s="28">
        <v>85</v>
      </c>
      <c r="AE121" s="29">
        <v>2</v>
      </c>
    </row>
    <row r="122" spans="1:31" ht="37.950000000000003" customHeight="1" x14ac:dyDescent="0.3">
      <c r="A122" s="6">
        <v>119</v>
      </c>
      <c r="B122" s="7" t="s">
        <v>624</v>
      </c>
      <c r="C122" s="7" t="s">
        <v>625</v>
      </c>
      <c r="D122" s="7">
        <v>2015</v>
      </c>
      <c r="E122" s="7">
        <v>2023</v>
      </c>
      <c r="F122" s="7" t="s">
        <v>626</v>
      </c>
      <c r="G122" s="7" t="s">
        <v>627</v>
      </c>
      <c r="H122" s="7" t="s">
        <v>628</v>
      </c>
      <c r="I122" s="7" t="s">
        <v>64</v>
      </c>
      <c r="J122" s="8">
        <v>1000</v>
      </c>
      <c r="K122" s="9">
        <f t="shared" si="4"/>
        <v>2015</v>
      </c>
      <c r="L122" s="9">
        <f t="shared" si="4"/>
        <v>2023</v>
      </c>
      <c r="M122" s="9">
        <f t="shared" si="5"/>
        <v>8</v>
      </c>
      <c r="N122" s="10" t="s">
        <v>47</v>
      </c>
      <c r="O122" s="10" t="s">
        <v>220</v>
      </c>
      <c r="P122" s="10" t="s">
        <v>40</v>
      </c>
      <c r="Q122" s="11">
        <v>1000</v>
      </c>
      <c r="R122" s="12">
        <v>3300</v>
      </c>
      <c r="S122" s="8">
        <v>200</v>
      </c>
      <c r="T122" s="8">
        <v>240</v>
      </c>
      <c r="U122" s="8">
        <v>100</v>
      </c>
      <c r="V122" s="8">
        <v>350</v>
      </c>
      <c r="W122" s="8">
        <v>400</v>
      </c>
      <c r="X122" s="8">
        <v>150</v>
      </c>
      <c r="Y122" s="13">
        <f t="shared" si="6"/>
        <v>0.2</v>
      </c>
      <c r="Z122" s="13">
        <f t="shared" si="6"/>
        <v>-0.58333333333333337</v>
      </c>
      <c r="AA122" s="14">
        <f t="shared" si="7"/>
        <v>1.6666666666666667</v>
      </c>
      <c r="AB122" s="15">
        <v>30</v>
      </c>
      <c r="AC122" s="16">
        <v>60</v>
      </c>
      <c r="AD122" s="16">
        <v>50</v>
      </c>
      <c r="AE122" s="17">
        <v>3</v>
      </c>
    </row>
    <row r="123" spans="1:31" ht="37.950000000000003" customHeight="1" x14ac:dyDescent="0.3">
      <c r="A123" s="18">
        <v>120</v>
      </c>
      <c r="B123" s="19" t="s">
        <v>629</v>
      </c>
      <c r="C123" s="19" t="s">
        <v>630</v>
      </c>
      <c r="D123" s="19">
        <v>2015</v>
      </c>
      <c r="E123" s="19">
        <v>2023</v>
      </c>
      <c r="F123" s="19" t="s">
        <v>631</v>
      </c>
      <c r="G123" s="19" t="s">
        <v>632</v>
      </c>
      <c r="H123" s="19" t="s">
        <v>633</v>
      </c>
      <c r="I123" s="19" t="s">
        <v>64</v>
      </c>
      <c r="J123" s="20">
        <v>577</v>
      </c>
      <c r="K123" s="21">
        <f t="shared" si="4"/>
        <v>2015</v>
      </c>
      <c r="L123" s="21">
        <f t="shared" si="4"/>
        <v>2023</v>
      </c>
      <c r="M123" s="21">
        <f t="shared" si="5"/>
        <v>8</v>
      </c>
      <c r="N123" s="22" t="s">
        <v>47</v>
      </c>
      <c r="O123" s="22" t="s">
        <v>57</v>
      </c>
      <c r="P123" s="22" t="s">
        <v>40</v>
      </c>
      <c r="Q123" s="23">
        <v>800</v>
      </c>
      <c r="R123" s="24">
        <v>1750</v>
      </c>
      <c r="S123" s="20">
        <v>350</v>
      </c>
      <c r="T123" s="20">
        <v>450</v>
      </c>
      <c r="U123" s="20">
        <v>200</v>
      </c>
      <c r="V123" s="20">
        <v>100</v>
      </c>
      <c r="W123" s="20">
        <v>120</v>
      </c>
      <c r="X123" s="20">
        <v>50</v>
      </c>
      <c r="Y123" s="25">
        <f t="shared" si="6"/>
        <v>0.2857142857142857</v>
      </c>
      <c r="Z123" s="25">
        <f t="shared" si="6"/>
        <v>-0.55555555555555558</v>
      </c>
      <c r="AA123" s="26">
        <f t="shared" si="7"/>
        <v>0.26666666666666666</v>
      </c>
      <c r="AB123" s="27">
        <v>10</v>
      </c>
      <c r="AC123" s="28">
        <v>40</v>
      </c>
      <c r="AD123" s="28">
        <v>30</v>
      </c>
      <c r="AE123" s="29">
        <v>2</v>
      </c>
    </row>
    <row r="124" spans="1:31" ht="37.950000000000003" customHeight="1" x14ac:dyDescent="0.3">
      <c r="A124" s="6">
        <v>121</v>
      </c>
      <c r="B124" s="7" t="s">
        <v>634</v>
      </c>
      <c r="C124" s="7" t="s">
        <v>635</v>
      </c>
      <c r="D124" s="7">
        <v>2017</v>
      </c>
      <c r="E124" s="7">
        <v>2024</v>
      </c>
      <c r="F124" s="7" t="s">
        <v>636</v>
      </c>
      <c r="G124" s="7" t="s">
        <v>637</v>
      </c>
      <c r="H124" s="7" t="s">
        <v>638</v>
      </c>
      <c r="I124" s="7" t="s">
        <v>64</v>
      </c>
      <c r="J124" s="8">
        <v>450</v>
      </c>
      <c r="K124" s="9">
        <f t="shared" si="4"/>
        <v>2017</v>
      </c>
      <c r="L124" s="9">
        <f t="shared" si="4"/>
        <v>2024</v>
      </c>
      <c r="M124" s="9">
        <f t="shared" si="5"/>
        <v>7</v>
      </c>
      <c r="N124" s="10" t="s">
        <v>56</v>
      </c>
      <c r="O124" s="10" t="s">
        <v>220</v>
      </c>
      <c r="P124" s="10" t="s">
        <v>86</v>
      </c>
      <c r="Q124" s="11">
        <v>400</v>
      </c>
      <c r="R124" s="12">
        <v>13000</v>
      </c>
      <c r="S124" s="8">
        <v>50</v>
      </c>
      <c r="T124" s="8">
        <v>80</v>
      </c>
      <c r="U124" s="8">
        <v>30</v>
      </c>
      <c r="V124" s="8">
        <v>100</v>
      </c>
      <c r="W124" s="8">
        <v>150</v>
      </c>
      <c r="X124" s="8">
        <v>80</v>
      </c>
      <c r="Y124" s="13">
        <f t="shared" si="6"/>
        <v>0.6</v>
      </c>
      <c r="Z124" s="13">
        <f t="shared" si="6"/>
        <v>-0.625</v>
      </c>
      <c r="AA124" s="14">
        <f t="shared" si="7"/>
        <v>1.875</v>
      </c>
      <c r="AB124" s="15">
        <v>10</v>
      </c>
      <c r="AC124" s="16">
        <v>85</v>
      </c>
      <c r="AD124" s="16">
        <v>70</v>
      </c>
      <c r="AE124" s="17">
        <v>3</v>
      </c>
    </row>
    <row r="125" spans="1:31" ht="37.950000000000003" customHeight="1" x14ac:dyDescent="0.3">
      <c r="A125" s="18">
        <v>122</v>
      </c>
      <c r="B125" s="19" t="s">
        <v>639</v>
      </c>
      <c r="C125" s="19" t="s">
        <v>465</v>
      </c>
      <c r="D125" s="19">
        <v>2020</v>
      </c>
      <c r="E125" s="19">
        <v>2023</v>
      </c>
      <c r="F125" s="19" t="s">
        <v>640</v>
      </c>
      <c r="G125" s="19" t="s">
        <v>641</v>
      </c>
      <c r="H125" s="19" t="s">
        <v>642</v>
      </c>
      <c r="I125" s="19" t="s">
        <v>64</v>
      </c>
      <c r="J125" s="20">
        <v>430</v>
      </c>
      <c r="K125" s="21">
        <f t="shared" si="4"/>
        <v>2020</v>
      </c>
      <c r="L125" s="21">
        <f t="shared" si="4"/>
        <v>2023</v>
      </c>
      <c r="M125" s="21">
        <f t="shared" si="5"/>
        <v>3</v>
      </c>
      <c r="N125" s="22" t="s">
        <v>38</v>
      </c>
      <c r="O125" s="22" t="s">
        <v>116</v>
      </c>
      <c r="P125" s="22" t="s">
        <v>86</v>
      </c>
      <c r="Q125" s="23">
        <v>250</v>
      </c>
      <c r="R125" s="24">
        <v>2100</v>
      </c>
      <c r="S125" s="20">
        <v>8</v>
      </c>
      <c r="T125" s="20">
        <v>15</v>
      </c>
      <c r="U125" s="20">
        <v>5</v>
      </c>
      <c r="V125" s="20">
        <v>30</v>
      </c>
      <c r="W125" s="20">
        <v>50</v>
      </c>
      <c r="X125" s="20">
        <v>20</v>
      </c>
      <c r="Y125" s="25">
        <f t="shared" si="6"/>
        <v>0.875</v>
      </c>
      <c r="Z125" s="25">
        <f t="shared" si="6"/>
        <v>-0.66666666666666663</v>
      </c>
      <c r="AA125" s="26">
        <f t="shared" si="7"/>
        <v>3.3333333333333335</v>
      </c>
      <c r="AB125" s="27">
        <v>4</v>
      </c>
      <c r="AC125" s="28">
        <v>70</v>
      </c>
      <c r="AD125" s="28">
        <v>60</v>
      </c>
      <c r="AE125" s="29">
        <v>0.5</v>
      </c>
    </row>
    <row r="126" spans="1:31" ht="37.950000000000003" customHeight="1" x14ac:dyDescent="0.3">
      <c r="A126" s="6">
        <v>123</v>
      </c>
      <c r="B126" s="7" t="s">
        <v>643</v>
      </c>
      <c r="C126" s="7" t="s">
        <v>644</v>
      </c>
      <c r="D126" s="7">
        <v>2015</v>
      </c>
      <c r="E126" s="7">
        <v>2024</v>
      </c>
      <c r="F126" s="7" t="s">
        <v>645</v>
      </c>
      <c r="G126" s="7" t="s">
        <v>646</v>
      </c>
      <c r="H126" s="7" t="s">
        <v>647</v>
      </c>
      <c r="I126" s="7" t="s">
        <v>64</v>
      </c>
      <c r="J126" s="8">
        <v>32</v>
      </c>
      <c r="K126" s="9">
        <f t="shared" si="4"/>
        <v>2015</v>
      </c>
      <c r="L126" s="9">
        <f t="shared" si="4"/>
        <v>2024</v>
      </c>
      <c r="M126" s="9">
        <f t="shared" si="5"/>
        <v>9</v>
      </c>
      <c r="N126" s="10" t="s">
        <v>219</v>
      </c>
      <c r="O126" s="10" t="s">
        <v>65</v>
      </c>
      <c r="P126" s="10" t="s">
        <v>40</v>
      </c>
      <c r="Q126" s="11">
        <v>250</v>
      </c>
      <c r="R126" s="12">
        <v>100</v>
      </c>
      <c r="S126" s="8">
        <v>12</v>
      </c>
      <c r="T126" s="8">
        <v>15</v>
      </c>
      <c r="U126" s="8">
        <v>10</v>
      </c>
      <c r="V126" s="8">
        <v>4</v>
      </c>
      <c r="W126" s="8">
        <v>6</v>
      </c>
      <c r="X126" s="8">
        <v>5</v>
      </c>
      <c r="Y126" s="13">
        <f t="shared" si="6"/>
        <v>0.25</v>
      </c>
      <c r="Z126" s="13">
        <f t="shared" si="6"/>
        <v>-0.33333333333333331</v>
      </c>
      <c r="AA126" s="14">
        <f t="shared" si="7"/>
        <v>0.4</v>
      </c>
      <c r="AB126" s="15">
        <v>0.5</v>
      </c>
      <c r="AC126" s="16">
        <v>65</v>
      </c>
      <c r="AD126" s="16">
        <v>60</v>
      </c>
      <c r="AE126" s="17">
        <v>1</v>
      </c>
    </row>
    <row r="127" spans="1:31" ht="37.950000000000003" customHeight="1" x14ac:dyDescent="0.3">
      <c r="A127" s="18">
        <v>124</v>
      </c>
      <c r="B127" s="19" t="s">
        <v>648</v>
      </c>
      <c r="C127" s="19" t="s">
        <v>649</v>
      </c>
      <c r="D127" s="19">
        <v>2006</v>
      </c>
      <c r="E127" s="19">
        <v>2024</v>
      </c>
      <c r="F127" s="19" t="s">
        <v>650</v>
      </c>
      <c r="G127" s="19" t="s">
        <v>651</v>
      </c>
      <c r="H127" s="19" t="s">
        <v>652</v>
      </c>
      <c r="I127" s="19" t="s">
        <v>64</v>
      </c>
      <c r="J127" s="20">
        <v>50</v>
      </c>
      <c r="K127" s="21">
        <f t="shared" si="4"/>
        <v>2006</v>
      </c>
      <c r="L127" s="21">
        <f t="shared" si="4"/>
        <v>2024</v>
      </c>
      <c r="M127" s="21">
        <f t="shared" si="5"/>
        <v>18</v>
      </c>
      <c r="N127" s="22" t="s">
        <v>56</v>
      </c>
      <c r="O127" s="22" t="s">
        <v>220</v>
      </c>
      <c r="P127" s="22" t="s">
        <v>195</v>
      </c>
      <c r="Q127" s="23">
        <v>600</v>
      </c>
      <c r="R127" s="24">
        <v>50</v>
      </c>
      <c r="S127" s="20">
        <v>35</v>
      </c>
      <c r="T127" s="20">
        <v>25</v>
      </c>
      <c r="U127" s="20">
        <v>15</v>
      </c>
      <c r="V127" s="20">
        <v>25</v>
      </c>
      <c r="W127" s="20">
        <v>35</v>
      </c>
      <c r="X127" s="20">
        <v>25</v>
      </c>
      <c r="Y127" s="25">
        <f t="shared" si="6"/>
        <v>-0.2857142857142857</v>
      </c>
      <c r="Z127" s="25">
        <f t="shared" si="6"/>
        <v>-0.4</v>
      </c>
      <c r="AA127" s="26">
        <f t="shared" si="7"/>
        <v>1.4</v>
      </c>
      <c r="AB127" s="27">
        <v>3</v>
      </c>
      <c r="AC127" s="28">
        <v>75</v>
      </c>
      <c r="AD127" s="28">
        <v>70</v>
      </c>
      <c r="AE127" s="29">
        <v>8</v>
      </c>
    </row>
    <row r="128" spans="1:31" ht="37.950000000000003" customHeight="1" x14ac:dyDescent="0.3">
      <c r="A128" s="6">
        <v>125</v>
      </c>
      <c r="B128" s="7" t="s">
        <v>653</v>
      </c>
      <c r="C128" s="7" t="s">
        <v>654</v>
      </c>
      <c r="D128" s="7">
        <v>2020</v>
      </c>
      <c r="E128" s="7">
        <v>2023</v>
      </c>
      <c r="F128" s="7" t="s">
        <v>655</v>
      </c>
      <c r="G128" s="7" t="s">
        <v>656</v>
      </c>
      <c r="H128" s="7" t="s">
        <v>657</v>
      </c>
      <c r="I128" s="7" t="s">
        <v>64</v>
      </c>
      <c r="J128" s="8">
        <v>12</v>
      </c>
      <c r="K128" s="9">
        <f t="shared" si="4"/>
        <v>2020</v>
      </c>
      <c r="L128" s="9">
        <f t="shared" si="4"/>
        <v>2023</v>
      </c>
      <c r="M128" s="9">
        <f t="shared" si="5"/>
        <v>3</v>
      </c>
      <c r="N128" s="10" t="s">
        <v>219</v>
      </c>
      <c r="O128" s="10" t="s">
        <v>93</v>
      </c>
      <c r="P128" s="10" t="s">
        <v>79</v>
      </c>
      <c r="Q128" s="11">
        <v>300</v>
      </c>
      <c r="R128" s="12">
        <v>25</v>
      </c>
      <c r="S128" s="8">
        <v>5</v>
      </c>
      <c r="T128" s="8">
        <v>2</v>
      </c>
      <c r="U128" s="8">
        <v>0</v>
      </c>
      <c r="V128" s="8">
        <v>2</v>
      </c>
      <c r="W128" s="8">
        <v>4</v>
      </c>
      <c r="X128" s="8">
        <v>0</v>
      </c>
      <c r="Y128" s="13">
        <f t="shared" si="6"/>
        <v>-0.6</v>
      </c>
      <c r="Z128" s="13">
        <f t="shared" si="6"/>
        <v>-1</v>
      </c>
      <c r="AA128" s="14">
        <f t="shared" si="7"/>
        <v>2</v>
      </c>
      <c r="AB128" s="15">
        <v>0.3</v>
      </c>
      <c r="AC128" s="16">
        <v>70</v>
      </c>
      <c r="AD128" s="16">
        <v>100</v>
      </c>
      <c r="AE128" s="17">
        <v>1</v>
      </c>
    </row>
    <row r="129" spans="1:31" ht="37.950000000000003" customHeight="1" x14ac:dyDescent="0.3">
      <c r="A129" s="18">
        <v>126</v>
      </c>
      <c r="B129" s="19" t="s">
        <v>658</v>
      </c>
      <c r="C129" s="19" t="s">
        <v>659</v>
      </c>
      <c r="D129" s="19">
        <v>2015</v>
      </c>
      <c r="E129" s="19">
        <v>2023</v>
      </c>
      <c r="F129" s="19" t="s">
        <v>660</v>
      </c>
      <c r="G129" s="19" t="s">
        <v>661</v>
      </c>
      <c r="H129" s="19" t="s">
        <v>662</v>
      </c>
      <c r="I129" s="19" t="s">
        <v>64</v>
      </c>
      <c r="J129" s="20">
        <v>35</v>
      </c>
      <c r="K129" s="21">
        <f t="shared" si="4"/>
        <v>2015</v>
      </c>
      <c r="L129" s="21">
        <f t="shared" si="4"/>
        <v>2023</v>
      </c>
      <c r="M129" s="21">
        <f t="shared" si="5"/>
        <v>8</v>
      </c>
      <c r="N129" s="22" t="s">
        <v>56</v>
      </c>
      <c r="O129" s="22" t="s">
        <v>48</v>
      </c>
      <c r="P129" s="22" t="s">
        <v>58</v>
      </c>
      <c r="Q129" s="23">
        <v>300</v>
      </c>
      <c r="R129" s="24">
        <v>100</v>
      </c>
      <c r="S129" s="20">
        <v>1</v>
      </c>
      <c r="T129" s="20">
        <v>0.5</v>
      </c>
      <c r="U129" s="20">
        <v>0</v>
      </c>
      <c r="V129" s="20">
        <v>4</v>
      </c>
      <c r="W129" s="20">
        <v>5</v>
      </c>
      <c r="X129" s="20">
        <v>0</v>
      </c>
      <c r="Y129" s="25">
        <f t="shared" si="6"/>
        <v>-0.5</v>
      </c>
      <c r="Z129" s="25">
        <f t="shared" si="6"/>
        <v>-1</v>
      </c>
      <c r="AA129" s="26">
        <f t="shared" si="7"/>
        <v>10</v>
      </c>
      <c r="AB129" s="27">
        <v>0.4</v>
      </c>
      <c r="AC129" s="28">
        <v>70</v>
      </c>
      <c r="AD129" s="28">
        <v>100</v>
      </c>
      <c r="AE129" s="29">
        <v>0.3</v>
      </c>
    </row>
    <row r="130" spans="1:31" ht="37.950000000000003" customHeight="1" x14ac:dyDescent="0.3">
      <c r="A130" s="6">
        <v>127</v>
      </c>
      <c r="B130" s="7" t="s">
        <v>663</v>
      </c>
      <c r="C130" s="7" t="s">
        <v>664</v>
      </c>
      <c r="D130" s="7">
        <v>2016</v>
      </c>
      <c r="E130" s="7">
        <v>2024</v>
      </c>
      <c r="F130" s="7" t="s">
        <v>665</v>
      </c>
      <c r="G130" s="7" t="s">
        <v>666</v>
      </c>
      <c r="H130" s="7" t="s">
        <v>667</v>
      </c>
      <c r="I130" s="7" t="s">
        <v>64</v>
      </c>
      <c r="J130" s="8">
        <v>10.6</v>
      </c>
      <c r="K130" s="9">
        <f t="shared" si="4"/>
        <v>2016</v>
      </c>
      <c r="L130" s="9">
        <f t="shared" si="4"/>
        <v>2024</v>
      </c>
      <c r="M130" s="9">
        <f t="shared" si="5"/>
        <v>8</v>
      </c>
      <c r="N130" s="10" t="s">
        <v>257</v>
      </c>
      <c r="O130" s="10" t="s">
        <v>78</v>
      </c>
      <c r="P130" s="10" t="s">
        <v>40</v>
      </c>
      <c r="Q130" s="11">
        <v>80</v>
      </c>
      <c r="R130" s="12">
        <v>35</v>
      </c>
      <c r="S130" s="8">
        <v>1.5</v>
      </c>
      <c r="T130" s="8">
        <v>1</v>
      </c>
      <c r="U130" s="8">
        <v>0.3</v>
      </c>
      <c r="V130" s="8">
        <v>3</v>
      </c>
      <c r="W130" s="8">
        <v>4</v>
      </c>
      <c r="X130" s="8">
        <v>2</v>
      </c>
      <c r="Y130" s="13">
        <f t="shared" si="6"/>
        <v>-0.33333333333333331</v>
      </c>
      <c r="Z130" s="13">
        <f t="shared" si="6"/>
        <v>-0.7</v>
      </c>
      <c r="AA130" s="14">
        <f t="shared" si="7"/>
        <v>4</v>
      </c>
      <c r="AB130" s="15">
        <v>0.3</v>
      </c>
      <c r="AC130" s="16">
        <v>65</v>
      </c>
      <c r="AD130" s="16">
        <v>70</v>
      </c>
      <c r="AE130" s="17">
        <v>0.1</v>
      </c>
    </row>
    <row r="131" spans="1:31" ht="37.950000000000003" customHeight="1" x14ac:dyDescent="0.3">
      <c r="A131" s="18">
        <v>128</v>
      </c>
      <c r="B131" s="19" t="s">
        <v>668</v>
      </c>
      <c r="C131" s="19" t="s">
        <v>669</v>
      </c>
      <c r="D131" s="19">
        <v>2014</v>
      </c>
      <c r="E131" s="19">
        <v>2022</v>
      </c>
      <c r="F131" s="19" t="s">
        <v>670</v>
      </c>
      <c r="G131" s="19" t="s">
        <v>671</v>
      </c>
      <c r="H131" s="19" t="s">
        <v>672</v>
      </c>
      <c r="I131" s="19" t="s">
        <v>64</v>
      </c>
      <c r="J131" s="20">
        <v>8.3000000000000007</v>
      </c>
      <c r="K131" s="21">
        <f t="shared" si="4"/>
        <v>2014</v>
      </c>
      <c r="L131" s="21">
        <f t="shared" si="4"/>
        <v>2022</v>
      </c>
      <c r="M131" s="21">
        <f t="shared" si="5"/>
        <v>8</v>
      </c>
      <c r="N131" s="22" t="s">
        <v>38</v>
      </c>
      <c r="O131" s="22" t="s">
        <v>78</v>
      </c>
      <c r="P131" s="22" t="s">
        <v>195</v>
      </c>
      <c r="Q131" s="23">
        <v>80</v>
      </c>
      <c r="R131" s="24">
        <v>25</v>
      </c>
      <c r="S131" s="20">
        <v>0.3</v>
      </c>
      <c r="T131" s="20">
        <v>0.1</v>
      </c>
      <c r="U131" s="20">
        <v>0</v>
      </c>
      <c r="V131" s="20">
        <v>1.5</v>
      </c>
      <c r="W131" s="20">
        <v>2</v>
      </c>
      <c r="X131" s="20">
        <v>0</v>
      </c>
      <c r="Y131" s="25">
        <f t="shared" si="6"/>
        <v>-0.66666666666666663</v>
      </c>
      <c r="Z131" s="25">
        <f t="shared" si="6"/>
        <v>-1</v>
      </c>
      <c r="AA131" s="26">
        <f t="shared" si="7"/>
        <v>20</v>
      </c>
      <c r="AB131" s="27">
        <v>0.17</v>
      </c>
      <c r="AC131" s="28">
        <v>70</v>
      </c>
      <c r="AD131" s="28">
        <v>100</v>
      </c>
      <c r="AE131" s="29">
        <v>0.1</v>
      </c>
    </row>
    <row r="132" spans="1:31" ht="37.950000000000003" customHeight="1" x14ac:dyDescent="0.3">
      <c r="A132" s="6">
        <v>129</v>
      </c>
      <c r="B132" s="7" t="s">
        <v>673</v>
      </c>
      <c r="C132" s="7" t="s">
        <v>674</v>
      </c>
      <c r="D132" s="7">
        <v>2018</v>
      </c>
      <c r="E132" s="7">
        <v>2024</v>
      </c>
      <c r="F132" s="7" t="s">
        <v>275</v>
      </c>
      <c r="G132" s="7" t="s">
        <v>675</v>
      </c>
      <c r="H132" s="7" t="s">
        <v>676</v>
      </c>
      <c r="I132" s="7" t="s">
        <v>64</v>
      </c>
      <c r="J132" s="8">
        <v>1.2</v>
      </c>
      <c r="K132" s="9">
        <f t="shared" si="4"/>
        <v>2018</v>
      </c>
      <c r="L132" s="9">
        <f t="shared" si="4"/>
        <v>2024</v>
      </c>
      <c r="M132" s="9">
        <f t="shared" si="5"/>
        <v>6</v>
      </c>
      <c r="N132" s="10" t="s">
        <v>167</v>
      </c>
      <c r="O132" s="10" t="s">
        <v>93</v>
      </c>
      <c r="P132" s="10" t="s">
        <v>40</v>
      </c>
      <c r="Q132" s="11">
        <v>25</v>
      </c>
      <c r="R132" s="12">
        <v>5</v>
      </c>
      <c r="S132" s="8">
        <v>0.05</v>
      </c>
      <c r="T132" s="8">
        <v>0.1</v>
      </c>
      <c r="U132" s="8">
        <v>0.05</v>
      </c>
      <c r="V132" s="8">
        <v>0.2</v>
      </c>
      <c r="W132" s="8">
        <v>0.3</v>
      </c>
      <c r="X132" s="8">
        <v>0.3</v>
      </c>
      <c r="Y132" s="13">
        <f t="shared" si="6"/>
        <v>1</v>
      </c>
      <c r="Z132" s="13">
        <f t="shared" si="6"/>
        <v>-0.5</v>
      </c>
      <c r="AA132" s="14">
        <f t="shared" si="7"/>
        <v>2.9999999999999996</v>
      </c>
      <c r="AB132" s="15">
        <v>0.02</v>
      </c>
      <c r="AC132" s="16">
        <v>50</v>
      </c>
      <c r="AD132" s="16">
        <v>100</v>
      </c>
      <c r="AE132" s="17">
        <v>0.01</v>
      </c>
    </row>
    <row r="133" spans="1:31" ht="37.950000000000003" customHeight="1" x14ac:dyDescent="0.3">
      <c r="A133" s="18">
        <v>130</v>
      </c>
      <c r="B133" s="19" t="s">
        <v>677</v>
      </c>
      <c r="C133" s="19" t="s">
        <v>678</v>
      </c>
      <c r="D133" s="19">
        <v>2020</v>
      </c>
      <c r="E133" s="19">
        <v>2023</v>
      </c>
      <c r="F133" s="19" t="s">
        <v>492</v>
      </c>
      <c r="G133" s="19" t="s">
        <v>493</v>
      </c>
      <c r="H133" s="19" t="s">
        <v>679</v>
      </c>
      <c r="I133" s="19" t="s">
        <v>64</v>
      </c>
      <c r="J133" s="20">
        <v>0</v>
      </c>
      <c r="K133" s="21">
        <f t="shared" si="4"/>
        <v>2020</v>
      </c>
      <c r="L133" s="21">
        <f t="shared" si="4"/>
        <v>2023</v>
      </c>
      <c r="M133" s="21">
        <f t="shared" si="5"/>
        <v>3</v>
      </c>
      <c r="N133" s="22" t="s">
        <v>219</v>
      </c>
      <c r="O133" s="22" t="s">
        <v>220</v>
      </c>
      <c r="P133" s="22" t="s">
        <v>195</v>
      </c>
      <c r="Q133" s="23">
        <v>30</v>
      </c>
      <c r="R133" s="24">
        <v>0</v>
      </c>
      <c r="S133" s="20">
        <v>0</v>
      </c>
      <c r="T133" s="20">
        <v>0</v>
      </c>
      <c r="U133" s="20">
        <v>0</v>
      </c>
      <c r="V133" s="20">
        <v>0.5</v>
      </c>
      <c r="W133" s="20">
        <v>0.5</v>
      </c>
      <c r="X133" s="20">
        <v>0</v>
      </c>
      <c r="Y133" s="25" t="str">
        <f t="shared" ref="Y133:Z186" si="8">IFERROR(IF(S133=0,"n/a",(T133-S133)/S133),"n/a")</f>
        <v>n/a</v>
      </c>
      <c r="Z133" s="25" t="str">
        <f t="shared" si="8"/>
        <v>n/a</v>
      </c>
      <c r="AA133" s="26" t="str">
        <f t="shared" ref="AA133:AA186" si="9">IFERROR(IF(T133=0,"n/a",W133/T133),"n/a")</f>
        <v>n/a</v>
      </c>
      <c r="AB133" s="27">
        <v>0.05</v>
      </c>
      <c r="AC133" s="28">
        <v>60</v>
      </c>
      <c r="AD133" s="28">
        <v>100</v>
      </c>
      <c r="AE133" s="29">
        <v>0.5</v>
      </c>
    </row>
    <row r="134" spans="1:31" ht="37.950000000000003" customHeight="1" x14ac:dyDescent="0.3">
      <c r="A134" s="6">
        <v>131</v>
      </c>
      <c r="B134" s="7" t="s">
        <v>680</v>
      </c>
      <c r="C134" s="7" t="s">
        <v>681</v>
      </c>
      <c r="D134" s="7">
        <v>2018</v>
      </c>
      <c r="E134" s="7">
        <v>2024</v>
      </c>
      <c r="F134" s="7" t="s">
        <v>682</v>
      </c>
      <c r="G134" s="7" t="s">
        <v>683</v>
      </c>
      <c r="H134" s="7" t="s">
        <v>684</v>
      </c>
      <c r="I134" s="7" t="s">
        <v>64</v>
      </c>
      <c r="J134" s="8">
        <v>22</v>
      </c>
      <c r="K134" s="9">
        <f t="shared" si="4"/>
        <v>2018</v>
      </c>
      <c r="L134" s="9">
        <f t="shared" si="4"/>
        <v>2024</v>
      </c>
      <c r="M134" s="9">
        <f t="shared" si="5"/>
        <v>6</v>
      </c>
      <c r="N134" s="10" t="s">
        <v>38</v>
      </c>
      <c r="O134" s="10" t="s">
        <v>78</v>
      </c>
      <c r="P134" s="10" t="s">
        <v>40</v>
      </c>
      <c r="Q134" s="11">
        <v>120</v>
      </c>
      <c r="R134" s="12">
        <v>75</v>
      </c>
      <c r="S134" s="8">
        <v>2</v>
      </c>
      <c r="T134" s="8">
        <v>3</v>
      </c>
      <c r="U134" s="8">
        <v>1</v>
      </c>
      <c r="V134" s="8">
        <v>5</v>
      </c>
      <c r="W134" s="8">
        <v>7</v>
      </c>
      <c r="X134" s="8">
        <v>4</v>
      </c>
      <c r="Y134" s="13">
        <f t="shared" si="8"/>
        <v>0.5</v>
      </c>
      <c r="Z134" s="13">
        <f t="shared" si="8"/>
        <v>-0.66666666666666663</v>
      </c>
      <c r="AA134" s="14">
        <f t="shared" si="9"/>
        <v>2.3333333333333335</v>
      </c>
      <c r="AB134" s="15">
        <v>0.6</v>
      </c>
      <c r="AC134" s="16">
        <v>60</v>
      </c>
      <c r="AD134" s="16">
        <v>60</v>
      </c>
      <c r="AE134" s="17">
        <v>0.05</v>
      </c>
    </row>
    <row r="135" spans="1:31" ht="37.950000000000003" customHeight="1" x14ac:dyDescent="0.3">
      <c r="A135" s="18">
        <v>132</v>
      </c>
      <c r="B135" s="19" t="s">
        <v>685</v>
      </c>
      <c r="C135" s="19" t="s">
        <v>686</v>
      </c>
      <c r="D135" s="19">
        <v>2014</v>
      </c>
      <c r="E135" s="19">
        <v>2024</v>
      </c>
      <c r="F135" s="19" t="s">
        <v>687</v>
      </c>
      <c r="G135" s="19" t="s">
        <v>688</v>
      </c>
      <c r="H135" s="19" t="s">
        <v>689</v>
      </c>
      <c r="I135" s="19" t="s">
        <v>64</v>
      </c>
      <c r="J135" s="20">
        <v>235</v>
      </c>
      <c r="K135" s="21">
        <f t="shared" si="4"/>
        <v>2014</v>
      </c>
      <c r="L135" s="21">
        <f t="shared" si="4"/>
        <v>2024</v>
      </c>
      <c r="M135" s="21">
        <f t="shared" si="5"/>
        <v>10</v>
      </c>
      <c r="N135" s="22" t="s">
        <v>38</v>
      </c>
      <c r="O135" s="22" t="s">
        <v>220</v>
      </c>
      <c r="P135" s="22" t="s">
        <v>79</v>
      </c>
      <c r="Q135" s="23">
        <v>800</v>
      </c>
      <c r="R135" s="24">
        <v>2000</v>
      </c>
      <c r="S135" s="20">
        <v>80</v>
      </c>
      <c r="T135" s="20">
        <v>60</v>
      </c>
      <c r="U135" s="20">
        <v>25</v>
      </c>
      <c r="V135" s="20">
        <v>90</v>
      </c>
      <c r="W135" s="20">
        <v>110</v>
      </c>
      <c r="X135" s="20">
        <v>50</v>
      </c>
      <c r="Y135" s="25">
        <f t="shared" si="8"/>
        <v>-0.25</v>
      </c>
      <c r="Z135" s="25">
        <f t="shared" si="8"/>
        <v>-0.58333333333333337</v>
      </c>
      <c r="AA135" s="26">
        <f t="shared" si="9"/>
        <v>1.8333333333333333</v>
      </c>
      <c r="AB135" s="27">
        <v>8</v>
      </c>
      <c r="AC135" s="28">
        <v>75</v>
      </c>
      <c r="AD135" s="28">
        <v>65</v>
      </c>
      <c r="AE135" s="29">
        <v>200</v>
      </c>
    </row>
    <row r="136" spans="1:31" ht="37.950000000000003" customHeight="1" x14ac:dyDescent="0.3">
      <c r="A136" s="6">
        <v>133</v>
      </c>
      <c r="B136" s="7" t="s">
        <v>690</v>
      </c>
      <c r="C136" s="7" t="s">
        <v>325</v>
      </c>
      <c r="D136" s="7">
        <v>2020</v>
      </c>
      <c r="E136" s="7">
        <v>2024</v>
      </c>
      <c r="F136" s="7" t="s">
        <v>403</v>
      </c>
      <c r="G136" s="7" t="s">
        <v>691</v>
      </c>
      <c r="H136" s="7" t="s">
        <v>692</v>
      </c>
      <c r="I136" s="7" t="s">
        <v>64</v>
      </c>
      <c r="J136" s="8">
        <v>3</v>
      </c>
      <c r="K136" s="9">
        <f t="shared" si="4"/>
        <v>2020</v>
      </c>
      <c r="L136" s="9">
        <f t="shared" si="4"/>
        <v>2024</v>
      </c>
      <c r="M136" s="9">
        <f t="shared" si="5"/>
        <v>4</v>
      </c>
      <c r="N136" s="10" t="s">
        <v>38</v>
      </c>
      <c r="O136" s="10" t="s">
        <v>93</v>
      </c>
      <c r="P136" s="10" t="s">
        <v>40</v>
      </c>
      <c r="Q136" s="11">
        <v>30</v>
      </c>
      <c r="R136" s="12">
        <v>15</v>
      </c>
      <c r="S136" s="8">
        <v>0.5</v>
      </c>
      <c r="T136" s="8">
        <v>0.3</v>
      </c>
      <c r="U136" s="8">
        <v>0.1</v>
      </c>
      <c r="V136" s="8">
        <v>1</v>
      </c>
      <c r="W136" s="8">
        <v>1.5</v>
      </c>
      <c r="X136" s="8">
        <v>1</v>
      </c>
      <c r="Y136" s="13">
        <f t="shared" si="8"/>
        <v>-0.4</v>
      </c>
      <c r="Z136" s="13">
        <f t="shared" si="8"/>
        <v>-0.66666666666666663</v>
      </c>
      <c r="AA136" s="14">
        <f t="shared" si="9"/>
        <v>5</v>
      </c>
      <c r="AB136" s="15">
        <v>0.12</v>
      </c>
      <c r="AC136" s="16">
        <v>65</v>
      </c>
      <c r="AD136" s="16">
        <v>80</v>
      </c>
      <c r="AE136" s="17">
        <v>0.1</v>
      </c>
    </row>
    <row r="137" spans="1:31" ht="40.049999999999997" customHeight="1" x14ac:dyDescent="0.3">
      <c r="A137" s="18">
        <v>134</v>
      </c>
      <c r="B137" s="19" t="s">
        <v>693</v>
      </c>
      <c r="C137" s="19" t="s">
        <v>694</v>
      </c>
      <c r="D137" s="19">
        <v>2018</v>
      </c>
      <c r="E137" s="19">
        <v>2023</v>
      </c>
      <c r="F137" s="19" t="s">
        <v>522</v>
      </c>
      <c r="G137" s="19" t="s">
        <v>695</v>
      </c>
      <c r="H137" s="19" t="s">
        <v>696</v>
      </c>
      <c r="I137" s="19" t="s">
        <v>64</v>
      </c>
      <c r="J137" s="20">
        <v>27</v>
      </c>
      <c r="K137" s="21">
        <f t="shared" si="4"/>
        <v>2018</v>
      </c>
      <c r="L137" s="21">
        <f t="shared" si="4"/>
        <v>2023</v>
      </c>
      <c r="M137" s="21">
        <f t="shared" si="5"/>
        <v>5</v>
      </c>
      <c r="N137" s="22" t="s">
        <v>38</v>
      </c>
      <c r="O137" s="22" t="s">
        <v>78</v>
      </c>
      <c r="P137" s="22" t="s">
        <v>86</v>
      </c>
      <c r="Q137" s="23">
        <v>100</v>
      </c>
      <c r="R137" s="24">
        <v>80</v>
      </c>
      <c r="S137" s="20">
        <v>2</v>
      </c>
      <c r="T137" s="20">
        <v>0.5</v>
      </c>
      <c r="U137" s="20">
        <v>0</v>
      </c>
      <c r="V137" s="20">
        <v>8</v>
      </c>
      <c r="W137" s="20">
        <v>12</v>
      </c>
      <c r="X137" s="20">
        <v>0</v>
      </c>
      <c r="Y137" s="25">
        <f t="shared" si="8"/>
        <v>-0.75</v>
      </c>
      <c r="Z137" s="25">
        <f t="shared" si="8"/>
        <v>-1</v>
      </c>
      <c r="AA137" s="26">
        <f t="shared" si="9"/>
        <v>24</v>
      </c>
      <c r="AB137" s="27">
        <v>1</v>
      </c>
      <c r="AC137" s="28">
        <v>80</v>
      </c>
      <c r="AD137" s="28">
        <v>100</v>
      </c>
      <c r="AE137" s="29">
        <v>0.5</v>
      </c>
    </row>
    <row r="138" spans="1:31" ht="40.049999999999997" customHeight="1" x14ac:dyDescent="0.3">
      <c r="A138" s="6">
        <v>135</v>
      </c>
      <c r="B138" s="7" t="s">
        <v>697</v>
      </c>
      <c r="C138" s="7" t="s">
        <v>698</v>
      </c>
      <c r="D138" s="7">
        <v>2015</v>
      </c>
      <c r="E138" s="7">
        <v>2024</v>
      </c>
      <c r="F138" s="7" t="s">
        <v>699</v>
      </c>
      <c r="G138" s="7" t="s">
        <v>700</v>
      </c>
      <c r="H138" s="7" t="s">
        <v>701</v>
      </c>
      <c r="I138" s="7" t="s">
        <v>64</v>
      </c>
      <c r="J138" s="8">
        <v>82.3</v>
      </c>
      <c r="K138" s="9">
        <f t="shared" si="4"/>
        <v>2015</v>
      </c>
      <c r="L138" s="9">
        <f t="shared" si="4"/>
        <v>2024</v>
      </c>
      <c r="M138" s="9">
        <f t="shared" si="5"/>
        <v>9</v>
      </c>
      <c r="N138" s="10" t="s">
        <v>38</v>
      </c>
      <c r="O138" s="10" t="s">
        <v>116</v>
      </c>
      <c r="P138" s="10" t="s">
        <v>86</v>
      </c>
      <c r="Q138" s="11">
        <v>400</v>
      </c>
      <c r="R138" s="12">
        <v>250</v>
      </c>
      <c r="S138" s="8">
        <v>18</v>
      </c>
      <c r="T138" s="8">
        <v>14</v>
      </c>
      <c r="U138" s="8">
        <v>6</v>
      </c>
      <c r="V138" s="8">
        <v>8</v>
      </c>
      <c r="W138" s="8">
        <v>14</v>
      </c>
      <c r="X138" s="8">
        <v>8</v>
      </c>
      <c r="Y138" s="13">
        <f t="shared" si="8"/>
        <v>-0.22222222222222221</v>
      </c>
      <c r="Z138" s="13">
        <f t="shared" si="8"/>
        <v>-0.5714285714285714</v>
      </c>
      <c r="AA138" s="14">
        <f t="shared" si="9"/>
        <v>1</v>
      </c>
      <c r="AB138" s="15">
        <v>1.2</v>
      </c>
      <c r="AC138" s="16">
        <v>60</v>
      </c>
      <c r="AD138" s="16">
        <v>50</v>
      </c>
      <c r="AE138" s="17">
        <v>3</v>
      </c>
    </row>
    <row r="139" spans="1:31" ht="40.049999999999997" customHeight="1" x14ac:dyDescent="0.3">
      <c r="A139" s="18">
        <v>136</v>
      </c>
      <c r="B139" s="19" t="s">
        <v>702</v>
      </c>
      <c r="C139" s="19" t="s">
        <v>703</v>
      </c>
      <c r="D139" s="19">
        <v>2021</v>
      </c>
      <c r="E139" s="19">
        <v>2023</v>
      </c>
      <c r="F139" s="19" t="s">
        <v>704</v>
      </c>
      <c r="G139" s="19" t="s">
        <v>705</v>
      </c>
      <c r="H139" s="19" t="s">
        <v>706</v>
      </c>
      <c r="I139" s="19" t="s">
        <v>64</v>
      </c>
      <c r="J139" s="20">
        <v>40</v>
      </c>
      <c r="K139" s="21">
        <f t="shared" si="4"/>
        <v>2021</v>
      </c>
      <c r="L139" s="21">
        <f t="shared" si="4"/>
        <v>2023</v>
      </c>
      <c r="M139" s="21">
        <f t="shared" si="5"/>
        <v>2</v>
      </c>
      <c r="N139" s="22" t="s">
        <v>38</v>
      </c>
      <c r="O139" s="22" t="s">
        <v>48</v>
      </c>
      <c r="P139" s="22" t="s">
        <v>272</v>
      </c>
      <c r="Q139" s="23">
        <v>50</v>
      </c>
      <c r="R139" s="24">
        <v>110</v>
      </c>
      <c r="S139" s="20">
        <v>0.5</v>
      </c>
      <c r="T139" s="20">
        <v>0.2</v>
      </c>
      <c r="U139" s="20">
        <v>0</v>
      </c>
      <c r="V139" s="20">
        <v>1</v>
      </c>
      <c r="W139" s="20">
        <v>1.5</v>
      </c>
      <c r="X139" s="20">
        <v>0</v>
      </c>
      <c r="Y139" s="25">
        <f t="shared" si="8"/>
        <v>-0.6</v>
      </c>
      <c r="Z139" s="25">
        <f t="shared" si="8"/>
        <v>-1</v>
      </c>
      <c r="AA139" s="26">
        <f t="shared" si="9"/>
        <v>7.5</v>
      </c>
      <c r="AB139" s="27">
        <v>0.15</v>
      </c>
      <c r="AC139" s="28">
        <v>50</v>
      </c>
      <c r="AD139" s="28">
        <v>70</v>
      </c>
      <c r="AE139" s="29">
        <v>1</v>
      </c>
    </row>
    <row r="140" spans="1:31" ht="40.049999999999997" customHeight="1" x14ac:dyDescent="0.3">
      <c r="A140" s="6">
        <v>137</v>
      </c>
      <c r="B140" s="7" t="s">
        <v>707</v>
      </c>
      <c r="C140" s="7" t="s">
        <v>708</v>
      </c>
      <c r="D140" s="7">
        <v>2015</v>
      </c>
      <c r="E140" s="7">
        <v>2024</v>
      </c>
      <c r="F140" s="7" t="s">
        <v>522</v>
      </c>
      <c r="G140" s="7" t="s">
        <v>709</v>
      </c>
      <c r="H140" s="7" t="s">
        <v>710</v>
      </c>
      <c r="I140" s="7" t="s">
        <v>64</v>
      </c>
      <c r="J140" s="8">
        <v>27</v>
      </c>
      <c r="K140" s="9">
        <f t="shared" si="4"/>
        <v>2015</v>
      </c>
      <c r="L140" s="9">
        <f t="shared" si="4"/>
        <v>2024</v>
      </c>
      <c r="M140" s="9">
        <f t="shared" si="5"/>
        <v>9</v>
      </c>
      <c r="N140" s="10" t="s">
        <v>38</v>
      </c>
      <c r="O140" s="10" t="s">
        <v>48</v>
      </c>
      <c r="P140" s="10" t="s">
        <v>86</v>
      </c>
      <c r="Q140" s="11">
        <v>200</v>
      </c>
      <c r="R140" s="12">
        <v>75</v>
      </c>
      <c r="S140" s="8">
        <v>4</v>
      </c>
      <c r="T140" s="8">
        <v>6</v>
      </c>
      <c r="U140" s="8">
        <v>3</v>
      </c>
      <c r="V140" s="8">
        <v>5</v>
      </c>
      <c r="W140" s="8">
        <v>7</v>
      </c>
      <c r="X140" s="8">
        <v>4</v>
      </c>
      <c r="Y140" s="13">
        <f t="shared" si="8"/>
        <v>0.5</v>
      </c>
      <c r="Z140" s="13">
        <f t="shared" si="8"/>
        <v>-0.5</v>
      </c>
      <c r="AA140" s="14">
        <f t="shared" si="9"/>
        <v>1.1666666666666667</v>
      </c>
      <c r="AB140" s="15">
        <v>0.6</v>
      </c>
      <c r="AC140" s="16">
        <v>65</v>
      </c>
      <c r="AD140" s="16">
        <v>60</v>
      </c>
      <c r="AE140" s="17">
        <v>0.5</v>
      </c>
    </row>
    <row r="141" spans="1:31" ht="40.049999999999997" customHeight="1" x14ac:dyDescent="0.3">
      <c r="A141" s="18">
        <v>138</v>
      </c>
      <c r="B141" s="19" t="s">
        <v>711</v>
      </c>
      <c r="C141" s="19" t="s">
        <v>712</v>
      </c>
      <c r="D141" s="19">
        <v>2017</v>
      </c>
      <c r="E141" s="19">
        <v>2023</v>
      </c>
      <c r="F141" s="19" t="s">
        <v>403</v>
      </c>
      <c r="G141" s="19" t="s">
        <v>713</v>
      </c>
      <c r="H141" s="19" t="s">
        <v>714</v>
      </c>
      <c r="I141" s="19" t="s">
        <v>64</v>
      </c>
      <c r="J141" s="20">
        <v>3</v>
      </c>
      <c r="K141" s="21">
        <f t="shared" si="4"/>
        <v>2017</v>
      </c>
      <c r="L141" s="21">
        <f t="shared" si="4"/>
        <v>2023</v>
      </c>
      <c r="M141" s="21">
        <f t="shared" si="5"/>
        <v>6</v>
      </c>
      <c r="N141" s="22" t="s">
        <v>38</v>
      </c>
      <c r="O141" s="22" t="s">
        <v>93</v>
      </c>
      <c r="P141" s="22" t="s">
        <v>79</v>
      </c>
      <c r="Q141" s="23">
        <v>40</v>
      </c>
      <c r="R141" s="24">
        <v>15</v>
      </c>
      <c r="S141" s="20">
        <v>0.2</v>
      </c>
      <c r="T141" s="20">
        <v>0.1</v>
      </c>
      <c r="U141" s="20">
        <v>0</v>
      </c>
      <c r="V141" s="20">
        <v>0.8</v>
      </c>
      <c r="W141" s="20">
        <v>1.2</v>
      </c>
      <c r="X141" s="20">
        <v>0</v>
      </c>
      <c r="Y141" s="25">
        <f t="shared" si="8"/>
        <v>-0.5</v>
      </c>
      <c r="Z141" s="25">
        <f t="shared" si="8"/>
        <v>-1</v>
      </c>
      <c r="AA141" s="26">
        <f t="shared" si="9"/>
        <v>11.999999999999998</v>
      </c>
      <c r="AB141" s="27">
        <v>0.1</v>
      </c>
      <c r="AC141" s="28">
        <v>60</v>
      </c>
      <c r="AD141" s="28">
        <v>100</v>
      </c>
      <c r="AE141" s="29">
        <v>0.01</v>
      </c>
    </row>
    <row r="142" spans="1:31" ht="40.049999999999997" customHeight="1" x14ac:dyDescent="0.3">
      <c r="A142" s="6">
        <v>139</v>
      </c>
      <c r="B142" s="7" t="s">
        <v>715</v>
      </c>
      <c r="C142" s="7" t="s">
        <v>716</v>
      </c>
      <c r="D142" s="7">
        <v>2017</v>
      </c>
      <c r="E142" s="7">
        <v>2023</v>
      </c>
      <c r="F142" s="7" t="s">
        <v>403</v>
      </c>
      <c r="G142" s="7" t="s">
        <v>717</v>
      </c>
      <c r="H142" s="7" t="s">
        <v>718</v>
      </c>
      <c r="I142" s="7" t="s">
        <v>64</v>
      </c>
      <c r="J142" s="8">
        <v>3</v>
      </c>
      <c r="K142" s="9">
        <f t="shared" si="4"/>
        <v>2017</v>
      </c>
      <c r="L142" s="9">
        <f t="shared" si="4"/>
        <v>2023</v>
      </c>
      <c r="M142" s="9">
        <f t="shared" si="5"/>
        <v>6</v>
      </c>
      <c r="N142" s="10" t="s">
        <v>38</v>
      </c>
      <c r="O142" s="10" t="s">
        <v>93</v>
      </c>
      <c r="P142" s="10" t="s">
        <v>195</v>
      </c>
      <c r="Q142" s="11">
        <v>30</v>
      </c>
      <c r="R142" s="12">
        <v>15</v>
      </c>
      <c r="S142" s="8">
        <v>0.1</v>
      </c>
      <c r="T142" s="8">
        <v>0.05</v>
      </c>
      <c r="U142" s="8">
        <v>0</v>
      </c>
      <c r="V142" s="8">
        <v>0.5</v>
      </c>
      <c r="W142" s="8">
        <v>0.8</v>
      </c>
      <c r="X142" s="8">
        <v>0</v>
      </c>
      <c r="Y142" s="13">
        <f t="shared" si="8"/>
        <v>-0.5</v>
      </c>
      <c r="Z142" s="13">
        <f t="shared" si="8"/>
        <v>-1</v>
      </c>
      <c r="AA142" s="14">
        <f t="shared" si="9"/>
        <v>16</v>
      </c>
      <c r="AB142" s="15">
        <v>7.0000000000000007E-2</v>
      </c>
      <c r="AC142" s="16">
        <v>60</v>
      </c>
      <c r="AD142" s="16">
        <v>100</v>
      </c>
      <c r="AE142" s="17">
        <v>0.05</v>
      </c>
    </row>
    <row r="143" spans="1:31" ht="40.049999999999997" customHeight="1" x14ac:dyDescent="0.3">
      <c r="A143" s="18">
        <v>140</v>
      </c>
      <c r="B143" s="19" t="s">
        <v>719</v>
      </c>
      <c r="C143" s="19" t="s">
        <v>720</v>
      </c>
      <c r="D143" s="19">
        <v>2019</v>
      </c>
      <c r="E143" s="19">
        <v>2024</v>
      </c>
      <c r="F143" s="19" t="s">
        <v>721</v>
      </c>
      <c r="G143" s="19" t="s">
        <v>722</v>
      </c>
      <c r="H143" s="19" t="s">
        <v>723</v>
      </c>
      <c r="I143" s="19" t="s">
        <v>64</v>
      </c>
      <c r="J143" s="20">
        <v>10</v>
      </c>
      <c r="K143" s="21">
        <f t="shared" si="4"/>
        <v>2019</v>
      </c>
      <c r="L143" s="21">
        <f t="shared" si="4"/>
        <v>2024</v>
      </c>
      <c r="M143" s="21">
        <f t="shared" si="5"/>
        <v>5</v>
      </c>
      <c r="N143" s="22" t="s">
        <v>38</v>
      </c>
      <c r="O143" s="22" t="s">
        <v>78</v>
      </c>
      <c r="P143" s="22" t="s">
        <v>79</v>
      </c>
      <c r="Q143" s="23">
        <v>100</v>
      </c>
      <c r="R143" s="24">
        <v>35</v>
      </c>
      <c r="S143" s="20">
        <v>1</v>
      </c>
      <c r="T143" s="20">
        <v>1.5</v>
      </c>
      <c r="U143" s="20">
        <v>0.5</v>
      </c>
      <c r="V143" s="20">
        <v>2</v>
      </c>
      <c r="W143" s="20">
        <v>3</v>
      </c>
      <c r="X143" s="20">
        <v>2</v>
      </c>
      <c r="Y143" s="25">
        <f t="shared" si="8"/>
        <v>0.5</v>
      </c>
      <c r="Z143" s="25">
        <f t="shared" si="8"/>
        <v>-0.66666666666666663</v>
      </c>
      <c r="AA143" s="26">
        <f t="shared" si="9"/>
        <v>2</v>
      </c>
      <c r="AB143" s="27">
        <v>0.25</v>
      </c>
      <c r="AC143" s="28">
        <v>70</v>
      </c>
      <c r="AD143" s="28">
        <v>80</v>
      </c>
      <c r="AE143" s="29">
        <v>0.05</v>
      </c>
    </row>
    <row r="144" spans="1:31" ht="40.049999999999997" customHeight="1" x14ac:dyDescent="0.3">
      <c r="A144" s="6">
        <v>141</v>
      </c>
      <c r="B144" s="7" t="s">
        <v>724</v>
      </c>
      <c r="C144" s="7" t="s">
        <v>725</v>
      </c>
      <c r="D144" s="7">
        <v>2018</v>
      </c>
      <c r="E144" s="7">
        <v>2023</v>
      </c>
      <c r="F144" s="7" t="s">
        <v>192</v>
      </c>
      <c r="G144" s="7" t="s">
        <v>726</v>
      </c>
      <c r="H144" s="7" t="s">
        <v>727</v>
      </c>
      <c r="I144" s="7" t="s">
        <v>64</v>
      </c>
      <c r="J144" s="8">
        <v>2.5</v>
      </c>
      <c r="K144" s="9">
        <f t="shared" si="4"/>
        <v>2018</v>
      </c>
      <c r="L144" s="9">
        <f t="shared" si="4"/>
        <v>2023</v>
      </c>
      <c r="M144" s="9">
        <f t="shared" si="5"/>
        <v>5</v>
      </c>
      <c r="N144" s="10" t="s">
        <v>219</v>
      </c>
      <c r="O144" s="10" t="s">
        <v>93</v>
      </c>
      <c r="P144" s="10" t="s">
        <v>79</v>
      </c>
      <c r="Q144" s="11">
        <v>40</v>
      </c>
      <c r="R144" s="12">
        <v>10</v>
      </c>
      <c r="S144" s="8">
        <v>0.5</v>
      </c>
      <c r="T144" s="8">
        <v>0.3</v>
      </c>
      <c r="U144" s="8">
        <v>0</v>
      </c>
      <c r="V144" s="8">
        <v>1.5</v>
      </c>
      <c r="W144" s="8">
        <v>2</v>
      </c>
      <c r="X144" s="8">
        <v>0</v>
      </c>
      <c r="Y144" s="13">
        <f t="shared" si="8"/>
        <v>-0.4</v>
      </c>
      <c r="Z144" s="13">
        <f t="shared" si="8"/>
        <v>-1</v>
      </c>
      <c r="AA144" s="14">
        <f t="shared" si="9"/>
        <v>6.666666666666667</v>
      </c>
      <c r="AB144" s="15">
        <v>0.17</v>
      </c>
      <c r="AC144" s="16">
        <v>65</v>
      </c>
      <c r="AD144" s="16">
        <v>100</v>
      </c>
      <c r="AE144" s="17">
        <v>0.01</v>
      </c>
    </row>
    <row r="145" spans="1:31" ht="40.049999999999997" customHeight="1" x14ac:dyDescent="0.3">
      <c r="A145" s="18">
        <v>142</v>
      </c>
      <c r="B145" s="19" t="s">
        <v>728</v>
      </c>
      <c r="C145" s="19" t="s">
        <v>729</v>
      </c>
      <c r="D145" s="19">
        <v>2018</v>
      </c>
      <c r="E145" s="19">
        <v>2023</v>
      </c>
      <c r="F145" s="19" t="s">
        <v>101</v>
      </c>
      <c r="G145" s="19" t="s">
        <v>730</v>
      </c>
      <c r="H145" s="19" t="s">
        <v>731</v>
      </c>
      <c r="I145" s="19" t="s">
        <v>64</v>
      </c>
      <c r="J145" s="20">
        <v>2</v>
      </c>
      <c r="K145" s="21">
        <f t="shared" si="4"/>
        <v>2018</v>
      </c>
      <c r="L145" s="21">
        <f t="shared" si="4"/>
        <v>2023</v>
      </c>
      <c r="M145" s="21">
        <f t="shared" si="5"/>
        <v>5</v>
      </c>
      <c r="N145" s="22" t="s">
        <v>38</v>
      </c>
      <c r="O145" s="22" t="s">
        <v>93</v>
      </c>
      <c r="P145" s="22" t="s">
        <v>272</v>
      </c>
      <c r="Q145" s="23">
        <v>25</v>
      </c>
      <c r="R145" s="24">
        <v>8</v>
      </c>
      <c r="S145" s="20">
        <v>0.3</v>
      </c>
      <c r="T145" s="20">
        <v>0.4</v>
      </c>
      <c r="U145" s="20">
        <v>0</v>
      </c>
      <c r="V145" s="20">
        <v>0.5</v>
      </c>
      <c r="W145" s="20">
        <v>0.7</v>
      </c>
      <c r="X145" s="20">
        <v>0</v>
      </c>
      <c r="Y145" s="25">
        <f t="shared" si="8"/>
        <v>0.33333333333333348</v>
      </c>
      <c r="Z145" s="25">
        <f t="shared" si="8"/>
        <v>-1</v>
      </c>
      <c r="AA145" s="26">
        <f t="shared" si="9"/>
        <v>1.7499999999999998</v>
      </c>
      <c r="AB145" s="27">
        <v>0.06</v>
      </c>
      <c r="AC145" s="28">
        <v>60</v>
      </c>
      <c r="AD145" s="28">
        <v>80</v>
      </c>
      <c r="AE145" s="29">
        <v>0.05</v>
      </c>
    </row>
    <row r="146" spans="1:31" ht="40.049999999999997" customHeight="1" x14ac:dyDescent="0.3">
      <c r="A146" s="6">
        <v>143</v>
      </c>
      <c r="B146" s="7" t="s">
        <v>732</v>
      </c>
      <c r="C146" s="7" t="s">
        <v>733</v>
      </c>
      <c r="D146" s="7">
        <v>2018</v>
      </c>
      <c r="E146" s="7">
        <v>2024</v>
      </c>
      <c r="F146" s="7" t="s">
        <v>734</v>
      </c>
      <c r="G146" s="7" t="s">
        <v>735</v>
      </c>
      <c r="H146" s="7" t="s">
        <v>736</v>
      </c>
      <c r="I146" s="7" t="s">
        <v>64</v>
      </c>
      <c r="J146" s="8">
        <v>19.399999999999999</v>
      </c>
      <c r="K146" s="9">
        <f t="shared" si="4"/>
        <v>2018</v>
      </c>
      <c r="L146" s="9">
        <f t="shared" si="4"/>
        <v>2024</v>
      </c>
      <c r="M146" s="9">
        <f t="shared" si="5"/>
        <v>6</v>
      </c>
      <c r="N146" s="10" t="s">
        <v>38</v>
      </c>
      <c r="O146" s="10" t="s">
        <v>78</v>
      </c>
      <c r="P146" s="10" t="s">
        <v>272</v>
      </c>
      <c r="Q146" s="11">
        <v>120</v>
      </c>
      <c r="R146" s="12">
        <v>80</v>
      </c>
      <c r="S146" s="8">
        <v>0.5</v>
      </c>
      <c r="T146" s="8">
        <v>0.8</v>
      </c>
      <c r="U146" s="8">
        <v>0.5</v>
      </c>
      <c r="V146" s="8">
        <v>2</v>
      </c>
      <c r="W146" s="8">
        <v>3</v>
      </c>
      <c r="X146" s="8">
        <v>2</v>
      </c>
      <c r="Y146" s="13">
        <f t="shared" si="8"/>
        <v>0.60000000000000009</v>
      </c>
      <c r="Z146" s="13">
        <f t="shared" si="8"/>
        <v>-0.37500000000000006</v>
      </c>
      <c r="AA146" s="14">
        <f t="shared" si="9"/>
        <v>3.75</v>
      </c>
      <c r="AB146" s="15">
        <v>0.25</v>
      </c>
      <c r="AC146" s="16">
        <v>60</v>
      </c>
      <c r="AD146" s="16">
        <v>50</v>
      </c>
      <c r="AE146" s="17">
        <v>50</v>
      </c>
    </row>
    <row r="147" spans="1:31" ht="40.049999999999997" customHeight="1" x14ac:dyDescent="0.3">
      <c r="A147" s="18">
        <v>144</v>
      </c>
      <c r="B147" s="19" t="s">
        <v>737</v>
      </c>
      <c r="C147" s="19" t="s">
        <v>738</v>
      </c>
      <c r="D147" s="19">
        <v>2014</v>
      </c>
      <c r="E147" s="19">
        <v>2022</v>
      </c>
      <c r="F147" s="19" t="s">
        <v>739</v>
      </c>
      <c r="G147" s="19" t="s">
        <v>740</v>
      </c>
      <c r="H147" s="19" t="s">
        <v>741</v>
      </c>
      <c r="I147" s="19" t="s">
        <v>64</v>
      </c>
      <c r="J147" s="20">
        <v>1.7</v>
      </c>
      <c r="K147" s="21">
        <f t="shared" si="4"/>
        <v>2014</v>
      </c>
      <c r="L147" s="21">
        <f t="shared" si="4"/>
        <v>2022</v>
      </c>
      <c r="M147" s="21">
        <f t="shared" si="5"/>
        <v>8</v>
      </c>
      <c r="N147" s="22" t="s">
        <v>56</v>
      </c>
      <c r="O147" s="22" t="s">
        <v>93</v>
      </c>
      <c r="P147" s="22" t="s">
        <v>58</v>
      </c>
      <c r="Q147" s="23">
        <v>40</v>
      </c>
      <c r="R147" s="24">
        <v>10</v>
      </c>
      <c r="S147" s="20">
        <v>0.3</v>
      </c>
      <c r="T147" s="20">
        <v>0.1</v>
      </c>
      <c r="U147" s="20">
        <v>0</v>
      </c>
      <c r="V147" s="20">
        <v>0.8</v>
      </c>
      <c r="W147" s="20">
        <v>1.2</v>
      </c>
      <c r="X147" s="20">
        <v>0</v>
      </c>
      <c r="Y147" s="25">
        <f t="shared" si="8"/>
        <v>-0.66666666666666663</v>
      </c>
      <c r="Z147" s="25">
        <f t="shared" si="8"/>
        <v>-1</v>
      </c>
      <c r="AA147" s="26">
        <f t="shared" si="9"/>
        <v>11.999999999999998</v>
      </c>
      <c r="AB147" s="27">
        <v>0.1</v>
      </c>
      <c r="AC147" s="28">
        <v>60</v>
      </c>
      <c r="AD147" s="28">
        <v>90</v>
      </c>
      <c r="AE147" s="29">
        <v>1</v>
      </c>
    </row>
    <row r="148" spans="1:31" ht="40.049999999999997" customHeight="1" x14ac:dyDescent="0.3">
      <c r="A148" s="6">
        <v>145</v>
      </c>
      <c r="B148" s="7" t="s">
        <v>742</v>
      </c>
      <c r="C148" s="7" t="s">
        <v>743</v>
      </c>
      <c r="D148" s="7">
        <v>2014</v>
      </c>
      <c r="E148" s="7">
        <v>2024</v>
      </c>
      <c r="F148" s="7" t="s">
        <v>744</v>
      </c>
      <c r="G148" s="7" t="s">
        <v>745</v>
      </c>
      <c r="H148" s="7" t="s">
        <v>746</v>
      </c>
      <c r="I148" s="7" t="s">
        <v>64</v>
      </c>
      <c r="J148" s="8">
        <v>259</v>
      </c>
      <c r="K148" s="9">
        <f t="shared" si="4"/>
        <v>2014</v>
      </c>
      <c r="L148" s="9">
        <f t="shared" si="4"/>
        <v>2024</v>
      </c>
      <c r="M148" s="9">
        <f t="shared" si="5"/>
        <v>10</v>
      </c>
      <c r="N148" s="10" t="s">
        <v>747</v>
      </c>
      <c r="O148" s="10" t="s">
        <v>65</v>
      </c>
      <c r="P148" s="10" t="s">
        <v>40</v>
      </c>
      <c r="Q148" s="11">
        <v>1500</v>
      </c>
      <c r="R148" s="12">
        <v>690</v>
      </c>
      <c r="S148" s="8">
        <v>100</v>
      </c>
      <c r="T148" s="8">
        <v>120</v>
      </c>
      <c r="U148" s="8">
        <v>110</v>
      </c>
      <c r="V148" s="8">
        <v>25</v>
      </c>
      <c r="W148" s="8">
        <v>27</v>
      </c>
      <c r="X148" s="8">
        <v>41</v>
      </c>
      <c r="Y148" s="13">
        <f t="shared" si="8"/>
        <v>0.2</v>
      </c>
      <c r="Z148" s="13">
        <f t="shared" si="8"/>
        <v>-8.3333333333333329E-2</v>
      </c>
      <c r="AA148" s="14">
        <f t="shared" si="9"/>
        <v>0.22500000000000001</v>
      </c>
      <c r="AB148" s="15">
        <v>3.4</v>
      </c>
      <c r="AC148" s="16">
        <v>70</v>
      </c>
      <c r="AD148" s="16">
        <v>60</v>
      </c>
      <c r="AE148" s="17">
        <v>3</v>
      </c>
    </row>
    <row r="149" spans="1:31" ht="40.049999999999997" customHeight="1" x14ac:dyDescent="0.3">
      <c r="A149" s="18">
        <v>146</v>
      </c>
      <c r="B149" s="19" t="s">
        <v>748</v>
      </c>
      <c r="C149" s="19" t="s">
        <v>749</v>
      </c>
      <c r="D149" s="19">
        <v>2017</v>
      </c>
      <c r="E149" s="19">
        <v>2023</v>
      </c>
      <c r="F149" s="19" t="s">
        <v>353</v>
      </c>
      <c r="G149" s="19" t="s">
        <v>750</v>
      </c>
      <c r="H149" s="19" t="s">
        <v>751</v>
      </c>
      <c r="I149" s="19" t="s">
        <v>64</v>
      </c>
      <c r="J149" s="20">
        <v>85</v>
      </c>
      <c r="K149" s="21">
        <f t="shared" si="4"/>
        <v>2017</v>
      </c>
      <c r="L149" s="21">
        <f t="shared" si="4"/>
        <v>2023</v>
      </c>
      <c r="M149" s="21">
        <f t="shared" si="5"/>
        <v>6</v>
      </c>
      <c r="N149" s="22" t="s">
        <v>38</v>
      </c>
      <c r="O149" s="22" t="s">
        <v>116</v>
      </c>
      <c r="P149" s="22" t="s">
        <v>58</v>
      </c>
      <c r="Q149" s="23">
        <v>600</v>
      </c>
      <c r="R149" s="24">
        <v>260</v>
      </c>
      <c r="S149" s="20">
        <v>6</v>
      </c>
      <c r="T149" s="20">
        <v>4</v>
      </c>
      <c r="U149" s="20">
        <v>1</v>
      </c>
      <c r="V149" s="20">
        <v>16</v>
      </c>
      <c r="W149" s="20">
        <v>22</v>
      </c>
      <c r="X149" s="20">
        <v>5</v>
      </c>
      <c r="Y149" s="25">
        <f t="shared" si="8"/>
        <v>-0.33333333333333331</v>
      </c>
      <c r="Z149" s="25">
        <f t="shared" si="8"/>
        <v>-0.75</v>
      </c>
      <c r="AA149" s="26">
        <f t="shared" si="9"/>
        <v>5.5</v>
      </c>
      <c r="AB149" s="27">
        <v>1.8</v>
      </c>
      <c r="AC149" s="28">
        <v>80</v>
      </c>
      <c r="AD149" s="28">
        <v>80</v>
      </c>
      <c r="AE149" s="29">
        <v>2.5</v>
      </c>
    </row>
    <row r="150" spans="1:31" ht="40.049999999999997" customHeight="1" x14ac:dyDescent="0.3">
      <c r="A150" s="6">
        <v>147</v>
      </c>
      <c r="B150" s="7" t="s">
        <v>752</v>
      </c>
      <c r="C150" s="7" t="s">
        <v>753</v>
      </c>
      <c r="D150" s="7">
        <v>2020</v>
      </c>
      <c r="E150" s="7">
        <v>2024</v>
      </c>
      <c r="F150" s="7" t="s">
        <v>754</v>
      </c>
      <c r="G150" s="7" t="s">
        <v>755</v>
      </c>
      <c r="H150" s="7" t="s">
        <v>756</v>
      </c>
      <c r="I150" s="7" t="s">
        <v>64</v>
      </c>
      <c r="J150" s="8">
        <v>80</v>
      </c>
      <c r="K150" s="9">
        <f t="shared" si="4"/>
        <v>2020</v>
      </c>
      <c r="L150" s="9">
        <f t="shared" si="4"/>
        <v>2024</v>
      </c>
      <c r="M150" s="9">
        <f t="shared" si="5"/>
        <v>4</v>
      </c>
      <c r="N150" s="10" t="s">
        <v>47</v>
      </c>
      <c r="O150" s="10" t="s">
        <v>116</v>
      </c>
      <c r="P150" s="10" t="s">
        <v>195</v>
      </c>
      <c r="Q150" s="11">
        <v>250</v>
      </c>
      <c r="R150" s="12">
        <v>180</v>
      </c>
      <c r="S150" s="8">
        <v>5</v>
      </c>
      <c r="T150" s="8">
        <v>8</v>
      </c>
      <c r="U150" s="8">
        <v>6</v>
      </c>
      <c r="V150" s="8">
        <v>8</v>
      </c>
      <c r="W150" s="8">
        <v>12</v>
      </c>
      <c r="X150" s="8">
        <v>8</v>
      </c>
      <c r="Y150" s="13">
        <f t="shared" si="8"/>
        <v>0.6</v>
      </c>
      <c r="Z150" s="13">
        <f t="shared" si="8"/>
        <v>-0.25</v>
      </c>
      <c r="AA150" s="14">
        <f t="shared" si="9"/>
        <v>1.5</v>
      </c>
      <c r="AB150" s="15">
        <v>1</v>
      </c>
      <c r="AC150" s="16">
        <v>50</v>
      </c>
      <c r="AD150" s="16">
        <v>30</v>
      </c>
      <c r="AE150" s="17">
        <v>1</v>
      </c>
    </row>
    <row r="151" spans="1:31" ht="40.049999999999997" customHeight="1" x14ac:dyDescent="0.3">
      <c r="A151" s="18">
        <v>148</v>
      </c>
      <c r="B151" s="19" t="s">
        <v>757</v>
      </c>
      <c r="C151" s="19" t="s">
        <v>758</v>
      </c>
      <c r="D151" s="19">
        <v>2016</v>
      </c>
      <c r="E151" s="19">
        <v>2024</v>
      </c>
      <c r="F151" s="19" t="s">
        <v>551</v>
      </c>
      <c r="G151" s="19" t="s">
        <v>759</v>
      </c>
      <c r="H151" s="19" t="s">
        <v>760</v>
      </c>
      <c r="I151" s="19" t="s">
        <v>64</v>
      </c>
      <c r="J151" s="20">
        <v>13</v>
      </c>
      <c r="K151" s="21">
        <f t="shared" si="4"/>
        <v>2016</v>
      </c>
      <c r="L151" s="21">
        <f t="shared" si="4"/>
        <v>2024</v>
      </c>
      <c r="M151" s="21">
        <f t="shared" si="5"/>
        <v>8</v>
      </c>
      <c r="N151" s="22" t="s">
        <v>219</v>
      </c>
      <c r="O151" s="22" t="s">
        <v>78</v>
      </c>
      <c r="P151" s="22" t="s">
        <v>40</v>
      </c>
      <c r="Q151" s="23">
        <v>100</v>
      </c>
      <c r="R151" s="24">
        <v>40</v>
      </c>
      <c r="S151" s="20">
        <v>3</v>
      </c>
      <c r="T151" s="20">
        <v>4</v>
      </c>
      <c r="U151" s="20">
        <v>3</v>
      </c>
      <c r="V151" s="20">
        <v>4</v>
      </c>
      <c r="W151" s="20">
        <v>6</v>
      </c>
      <c r="X151" s="20">
        <v>5</v>
      </c>
      <c r="Y151" s="25">
        <f t="shared" si="8"/>
        <v>0.33333333333333331</v>
      </c>
      <c r="Z151" s="25">
        <f t="shared" si="8"/>
        <v>-0.25</v>
      </c>
      <c r="AA151" s="26">
        <f t="shared" si="9"/>
        <v>1.5</v>
      </c>
      <c r="AB151" s="27">
        <v>0.5</v>
      </c>
      <c r="AC151" s="28">
        <v>60</v>
      </c>
      <c r="AD151" s="28">
        <v>60</v>
      </c>
      <c r="AE151" s="29">
        <v>0.3</v>
      </c>
    </row>
    <row r="152" spans="1:31" ht="40.049999999999997" customHeight="1" x14ac:dyDescent="0.3">
      <c r="A152" s="6">
        <v>149</v>
      </c>
      <c r="B152" s="7" t="s">
        <v>761</v>
      </c>
      <c r="C152" s="7" t="s">
        <v>762</v>
      </c>
      <c r="D152" s="7">
        <v>2016</v>
      </c>
      <c r="E152" s="7">
        <v>2022</v>
      </c>
      <c r="F152" s="7" t="s">
        <v>763</v>
      </c>
      <c r="G152" s="7" t="s">
        <v>764</v>
      </c>
      <c r="H152" s="7" t="s">
        <v>765</v>
      </c>
      <c r="I152" s="7" t="s">
        <v>64</v>
      </c>
      <c r="J152" s="8">
        <v>686</v>
      </c>
      <c r="K152" s="9">
        <f t="shared" si="4"/>
        <v>2016</v>
      </c>
      <c r="L152" s="9">
        <f t="shared" si="4"/>
        <v>2022</v>
      </c>
      <c r="M152" s="9">
        <f t="shared" si="5"/>
        <v>6</v>
      </c>
      <c r="N152" s="10" t="s">
        <v>38</v>
      </c>
      <c r="O152" s="10" t="s">
        <v>220</v>
      </c>
      <c r="P152" s="10" t="s">
        <v>40</v>
      </c>
      <c r="Q152" s="11">
        <v>4000</v>
      </c>
      <c r="R152" s="12">
        <v>1500</v>
      </c>
      <c r="S152" s="8">
        <v>60</v>
      </c>
      <c r="T152" s="8">
        <v>30</v>
      </c>
      <c r="U152" s="8">
        <v>0</v>
      </c>
      <c r="V152" s="8">
        <v>75</v>
      </c>
      <c r="W152" s="8">
        <v>90</v>
      </c>
      <c r="X152" s="8">
        <v>0</v>
      </c>
      <c r="Y152" s="13">
        <f t="shared" si="8"/>
        <v>-0.5</v>
      </c>
      <c r="Z152" s="13">
        <f t="shared" si="8"/>
        <v>-1</v>
      </c>
      <c r="AA152" s="14">
        <f t="shared" si="9"/>
        <v>3</v>
      </c>
      <c r="AB152" s="15">
        <v>7.5</v>
      </c>
      <c r="AC152" s="16">
        <v>50</v>
      </c>
      <c r="AD152" s="16">
        <v>70</v>
      </c>
      <c r="AE152" s="17">
        <v>2</v>
      </c>
    </row>
    <row r="153" spans="1:31" ht="40.049999999999997" customHeight="1" x14ac:dyDescent="0.3">
      <c r="A153" s="18">
        <v>150</v>
      </c>
      <c r="B153" s="19" t="s">
        <v>766</v>
      </c>
      <c r="C153" s="19" t="s">
        <v>767</v>
      </c>
      <c r="D153" s="19">
        <v>2019</v>
      </c>
      <c r="E153" s="19">
        <v>2022</v>
      </c>
      <c r="F153" s="19" t="s">
        <v>763</v>
      </c>
      <c r="G153" s="19" t="s">
        <v>768</v>
      </c>
      <c r="H153" s="19" t="s">
        <v>769</v>
      </c>
      <c r="I153" s="19" t="s">
        <v>64</v>
      </c>
      <c r="J153" s="20">
        <v>686</v>
      </c>
      <c r="K153" s="21">
        <f t="shared" si="4"/>
        <v>2019</v>
      </c>
      <c r="L153" s="21">
        <f t="shared" si="4"/>
        <v>2022</v>
      </c>
      <c r="M153" s="21">
        <f t="shared" si="5"/>
        <v>3</v>
      </c>
      <c r="N153" s="22" t="s">
        <v>38</v>
      </c>
      <c r="O153" s="22" t="s">
        <v>220</v>
      </c>
      <c r="P153" s="22" t="s">
        <v>40</v>
      </c>
      <c r="Q153" s="23">
        <v>200</v>
      </c>
      <c r="R153" s="24">
        <v>1500</v>
      </c>
      <c r="S153" s="20">
        <v>2</v>
      </c>
      <c r="T153" s="20">
        <v>1</v>
      </c>
      <c r="U153" s="20">
        <v>0</v>
      </c>
      <c r="V153" s="20">
        <v>8</v>
      </c>
      <c r="W153" s="20">
        <v>10</v>
      </c>
      <c r="X153" s="20">
        <v>0</v>
      </c>
      <c r="Y153" s="25">
        <f t="shared" si="8"/>
        <v>-0.5</v>
      </c>
      <c r="Z153" s="25">
        <f t="shared" si="8"/>
        <v>-1</v>
      </c>
      <c r="AA153" s="26">
        <f t="shared" si="9"/>
        <v>10</v>
      </c>
      <c r="AB153" s="27">
        <v>0.8</v>
      </c>
      <c r="AC153" s="28">
        <v>50</v>
      </c>
      <c r="AD153" s="28">
        <v>70</v>
      </c>
      <c r="AE153" s="29">
        <v>0.5</v>
      </c>
    </row>
    <row r="154" spans="1:31" ht="40.049999999999997" customHeight="1" x14ac:dyDescent="0.3">
      <c r="A154" s="6">
        <v>151</v>
      </c>
      <c r="B154" s="7" t="s">
        <v>770</v>
      </c>
      <c r="C154" s="7" t="s">
        <v>583</v>
      </c>
      <c r="D154" s="7">
        <v>2014</v>
      </c>
      <c r="E154" s="7">
        <v>2024</v>
      </c>
      <c r="F154" s="7" t="s">
        <v>721</v>
      </c>
      <c r="G154" s="7" t="s">
        <v>771</v>
      </c>
      <c r="H154" s="7" t="s">
        <v>772</v>
      </c>
      <c r="I154" s="7" t="s">
        <v>64</v>
      </c>
      <c r="J154" s="8">
        <v>10</v>
      </c>
      <c r="K154" s="9">
        <f t="shared" si="4"/>
        <v>2014</v>
      </c>
      <c r="L154" s="9">
        <f t="shared" si="4"/>
        <v>2024</v>
      </c>
      <c r="M154" s="9">
        <f t="shared" si="5"/>
        <v>10</v>
      </c>
      <c r="N154" s="10" t="s">
        <v>56</v>
      </c>
      <c r="O154" s="10" t="s">
        <v>78</v>
      </c>
      <c r="P154" s="10" t="s">
        <v>86</v>
      </c>
      <c r="Q154" s="11">
        <v>200</v>
      </c>
      <c r="R154" s="12">
        <v>50</v>
      </c>
      <c r="S154" s="8">
        <v>8</v>
      </c>
      <c r="T154" s="8">
        <v>4</v>
      </c>
      <c r="U154" s="8">
        <v>1</v>
      </c>
      <c r="V154" s="8">
        <v>6</v>
      </c>
      <c r="W154" s="8">
        <v>8</v>
      </c>
      <c r="X154" s="8">
        <v>5</v>
      </c>
      <c r="Y154" s="13">
        <f t="shared" si="8"/>
        <v>-0.5</v>
      </c>
      <c r="Z154" s="13">
        <f t="shared" si="8"/>
        <v>-0.75</v>
      </c>
      <c r="AA154" s="14">
        <f t="shared" si="9"/>
        <v>2</v>
      </c>
      <c r="AB154" s="15">
        <v>0.7</v>
      </c>
      <c r="AC154" s="16">
        <v>80</v>
      </c>
      <c r="AD154" s="16">
        <v>70</v>
      </c>
      <c r="AE154" s="17">
        <v>4</v>
      </c>
    </row>
    <row r="155" spans="1:31" ht="40.049999999999997" customHeight="1" x14ac:dyDescent="0.3">
      <c r="A155" s="18">
        <v>152</v>
      </c>
      <c r="B155" s="19" t="s">
        <v>773</v>
      </c>
      <c r="C155" s="19" t="s">
        <v>583</v>
      </c>
      <c r="D155" s="19">
        <v>2017</v>
      </c>
      <c r="E155" s="19">
        <v>2024</v>
      </c>
      <c r="F155" s="19" t="s">
        <v>774</v>
      </c>
      <c r="G155" s="19" t="s">
        <v>775</v>
      </c>
      <c r="H155" s="19" t="s">
        <v>776</v>
      </c>
      <c r="I155" s="19" t="s">
        <v>64</v>
      </c>
      <c r="J155" s="20">
        <v>300</v>
      </c>
      <c r="K155" s="21">
        <f t="shared" si="4"/>
        <v>2017</v>
      </c>
      <c r="L155" s="21">
        <f t="shared" si="4"/>
        <v>2024</v>
      </c>
      <c r="M155" s="21">
        <f t="shared" si="5"/>
        <v>7</v>
      </c>
      <c r="N155" s="22" t="s">
        <v>38</v>
      </c>
      <c r="O155" s="22" t="s">
        <v>116</v>
      </c>
      <c r="P155" s="22" t="s">
        <v>86</v>
      </c>
      <c r="Q155" s="23">
        <v>700</v>
      </c>
      <c r="R155" s="24">
        <v>1900</v>
      </c>
      <c r="S155" s="20">
        <v>100</v>
      </c>
      <c r="T155" s="20">
        <v>25</v>
      </c>
      <c r="U155" s="20">
        <v>12</v>
      </c>
      <c r="V155" s="20">
        <v>30</v>
      </c>
      <c r="W155" s="20">
        <v>50</v>
      </c>
      <c r="X155" s="20">
        <v>28</v>
      </c>
      <c r="Y155" s="25">
        <f t="shared" si="8"/>
        <v>-0.75</v>
      </c>
      <c r="Z155" s="25">
        <f t="shared" si="8"/>
        <v>-0.52</v>
      </c>
      <c r="AA155" s="26">
        <f t="shared" si="9"/>
        <v>2</v>
      </c>
      <c r="AB155" s="27">
        <v>4</v>
      </c>
      <c r="AC155" s="28">
        <v>70</v>
      </c>
      <c r="AD155" s="28">
        <v>70</v>
      </c>
      <c r="AE155" s="29">
        <v>20</v>
      </c>
    </row>
    <row r="156" spans="1:31" ht="40.049999999999997" customHeight="1" x14ac:dyDescent="0.3">
      <c r="A156" s="6">
        <v>153</v>
      </c>
      <c r="B156" s="7" t="s">
        <v>777</v>
      </c>
      <c r="C156" s="7" t="s">
        <v>583</v>
      </c>
      <c r="D156" s="7">
        <v>2018</v>
      </c>
      <c r="E156" s="7">
        <v>2024</v>
      </c>
      <c r="F156" s="7" t="s">
        <v>778</v>
      </c>
      <c r="G156" s="7" t="s">
        <v>779</v>
      </c>
      <c r="H156" s="7" t="s">
        <v>780</v>
      </c>
      <c r="I156" s="7" t="s">
        <v>64</v>
      </c>
      <c r="J156" s="8">
        <v>245</v>
      </c>
      <c r="K156" s="9">
        <f t="shared" si="4"/>
        <v>2018</v>
      </c>
      <c r="L156" s="9">
        <f t="shared" si="4"/>
        <v>2024</v>
      </c>
      <c r="M156" s="9">
        <f t="shared" si="5"/>
        <v>6</v>
      </c>
      <c r="N156" s="10" t="s">
        <v>56</v>
      </c>
      <c r="O156" s="10" t="s">
        <v>65</v>
      </c>
      <c r="P156" s="10" t="s">
        <v>86</v>
      </c>
      <c r="Q156" s="11">
        <v>500</v>
      </c>
      <c r="R156" s="12">
        <v>2150</v>
      </c>
      <c r="S156" s="8">
        <v>80</v>
      </c>
      <c r="T156" s="8">
        <v>30</v>
      </c>
      <c r="U156" s="8">
        <v>15</v>
      </c>
      <c r="V156" s="8">
        <v>25</v>
      </c>
      <c r="W156" s="8">
        <v>40</v>
      </c>
      <c r="X156" s="8">
        <v>25</v>
      </c>
      <c r="Y156" s="13">
        <f t="shared" si="8"/>
        <v>-0.625</v>
      </c>
      <c r="Z156" s="13">
        <f t="shared" si="8"/>
        <v>-0.5</v>
      </c>
      <c r="AA156" s="14">
        <f t="shared" si="9"/>
        <v>1.3333333333333333</v>
      </c>
      <c r="AB156" s="15">
        <v>3.3</v>
      </c>
      <c r="AC156" s="16">
        <v>75</v>
      </c>
      <c r="AD156" s="16">
        <v>70</v>
      </c>
      <c r="AE156" s="17">
        <v>15</v>
      </c>
    </row>
    <row r="157" spans="1:31" ht="40.049999999999997" customHeight="1" x14ac:dyDescent="0.3">
      <c r="A157" s="18">
        <v>154</v>
      </c>
      <c r="B157" s="19" t="s">
        <v>781</v>
      </c>
      <c r="C157" s="19" t="s">
        <v>782</v>
      </c>
      <c r="D157" s="19">
        <v>2019</v>
      </c>
      <c r="E157" s="19">
        <v>2024</v>
      </c>
      <c r="F157" s="19" t="s">
        <v>783</v>
      </c>
      <c r="G157" s="19" t="s">
        <v>784</v>
      </c>
      <c r="H157" s="19" t="s">
        <v>785</v>
      </c>
      <c r="I157" s="19" t="s">
        <v>64</v>
      </c>
      <c r="J157" s="20">
        <v>110</v>
      </c>
      <c r="K157" s="21">
        <f t="shared" si="4"/>
        <v>2019</v>
      </c>
      <c r="L157" s="21">
        <f t="shared" si="4"/>
        <v>2024</v>
      </c>
      <c r="M157" s="21">
        <f t="shared" si="5"/>
        <v>5</v>
      </c>
      <c r="N157" s="22" t="s">
        <v>47</v>
      </c>
      <c r="O157" s="22" t="s">
        <v>48</v>
      </c>
      <c r="P157" s="22" t="s">
        <v>195</v>
      </c>
      <c r="Q157" s="23">
        <v>700</v>
      </c>
      <c r="R157" s="24">
        <v>400</v>
      </c>
      <c r="S157" s="20">
        <v>30</v>
      </c>
      <c r="T157" s="20">
        <v>25</v>
      </c>
      <c r="U157" s="20">
        <v>10</v>
      </c>
      <c r="V157" s="20">
        <v>28</v>
      </c>
      <c r="W157" s="20">
        <v>36</v>
      </c>
      <c r="X157" s="20">
        <v>20</v>
      </c>
      <c r="Y157" s="25">
        <f t="shared" si="8"/>
        <v>-0.16666666666666666</v>
      </c>
      <c r="Z157" s="25">
        <f t="shared" si="8"/>
        <v>-0.6</v>
      </c>
      <c r="AA157" s="26">
        <f t="shared" si="9"/>
        <v>1.44</v>
      </c>
      <c r="AB157" s="27">
        <v>3</v>
      </c>
      <c r="AC157" s="28">
        <v>70</v>
      </c>
      <c r="AD157" s="28">
        <v>85</v>
      </c>
      <c r="AE157" s="29">
        <v>2</v>
      </c>
    </row>
    <row r="158" spans="1:31" ht="40.049999999999997" customHeight="1" x14ac:dyDescent="0.3">
      <c r="A158" s="6">
        <v>155</v>
      </c>
      <c r="B158" s="7" t="s">
        <v>786</v>
      </c>
      <c r="C158" s="7" t="s">
        <v>787</v>
      </c>
      <c r="D158" s="7">
        <v>2021</v>
      </c>
      <c r="E158" s="7">
        <v>2023</v>
      </c>
      <c r="F158" s="7" t="s">
        <v>474</v>
      </c>
      <c r="G158" s="7" t="s">
        <v>788</v>
      </c>
      <c r="H158" s="7" t="s">
        <v>789</v>
      </c>
      <c r="I158" s="7" t="s">
        <v>64</v>
      </c>
      <c r="J158" s="8">
        <v>0</v>
      </c>
      <c r="K158" s="9">
        <f t="shared" si="4"/>
        <v>2021</v>
      </c>
      <c r="L158" s="9">
        <f t="shared" si="4"/>
        <v>2023</v>
      </c>
      <c r="M158" s="9">
        <f t="shared" si="5"/>
        <v>2</v>
      </c>
      <c r="N158" s="10" t="s">
        <v>219</v>
      </c>
      <c r="O158" s="10" t="s">
        <v>220</v>
      </c>
      <c r="P158" s="10" t="s">
        <v>272</v>
      </c>
      <c r="Q158" s="11">
        <v>50</v>
      </c>
      <c r="R158" s="12">
        <v>0</v>
      </c>
      <c r="S158" s="8">
        <v>1</v>
      </c>
      <c r="T158" s="8">
        <v>0.5</v>
      </c>
      <c r="U158" s="8">
        <v>0</v>
      </c>
      <c r="V158" s="8">
        <v>1</v>
      </c>
      <c r="W158" s="8">
        <v>1.5</v>
      </c>
      <c r="X158" s="8">
        <v>0</v>
      </c>
      <c r="Y158" s="13">
        <f t="shared" si="8"/>
        <v>-0.5</v>
      </c>
      <c r="Z158" s="13">
        <f t="shared" si="8"/>
        <v>-1</v>
      </c>
      <c r="AA158" s="14">
        <f t="shared" si="9"/>
        <v>3</v>
      </c>
      <c r="AB158" s="15">
        <v>0.15</v>
      </c>
      <c r="AC158" s="16">
        <v>50</v>
      </c>
      <c r="AD158" s="16">
        <v>100</v>
      </c>
      <c r="AE158" s="17">
        <v>0.1</v>
      </c>
    </row>
    <row r="159" spans="1:31" ht="40.049999999999997" customHeight="1" x14ac:dyDescent="0.3">
      <c r="A159" s="18">
        <v>156</v>
      </c>
      <c r="B159" s="19" t="s">
        <v>790</v>
      </c>
      <c r="C159" s="19" t="s">
        <v>791</v>
      </c>
      <c r="D159" s="19">
        <v>2020</v>
      </c>
      <c r="E159" s="19">
        <v>2023</v>
      </c>
      <c r="F159" s="19" t="s">
        <v>96</v>
      </c>
      <c r="G159" s="19" t="s">
        <v>792</v>
      </c>
      <c r="H159" s="19" t="s">
        <v>793</v>
      </c>
      <c r="I159" s="19" t="s">
        <v>64</v>
      </c>
      <c r="J159" s="20">
        <v>3.5</v>
      </c>
      <c r="K159" s="21">
        <f t="shared" si="4"/>
        <v>2020</v>
      </c>
      <c r="L159" s="21">
        <f t="shared" si="4"/>
        <v>2023</v>
      </c>
      <c r="M159" s="21">
        <f t="shared" si="5"/>
        <v>3</v>
      </c>
      <c r="N159" s="22" t="s">
        <v>38</v>
      </c>
      <c r="O159" s="22" t="s">
        <v>93</v>
      </c>
      <c r="P159" s="22" t="s">
        <v>195</v>
      </c>
      <c r="Q159" s="23">
        <v>50</v>
      </c>
      <c r="R159" s="24">
        <v>15</v>
      </c>
      <c r="S159" s="20">
        <v>0.5</v>
      </c>
      <c r="T159" s="20">
        <v>0.3</v>
      </c>
      <c r="U159" s="20">
        <v>0</v>
      </c>
      <c r="V159" s="20">
        <v>1</v>
      </c>
      <c r="W159" s="20">
        <v>1.5</v>
      </c>
      <c r="X159" s="20">
        <v>0</v>
      </c>
      <c r="Y159" s="25">
        <f t="shared" si="8"/>
        <v>-0.4</v>
      </c>
      <c r="Z159" s="25">
        <f t="shared" si="8"/>
        <v>-1</v>
      </c>
      <c r="AA159" s="26">
        <f t="shared" si="9"/>
        <v>5</v>
      </c>
      <c r="AB159" s="27">
        <v>0.15</v>
      </c>
      <c r="AC159" s="28">
        <v>60</v>
      </c>
      <c r="AD159" s="28">
        <v>100</v>
      </c>
      <c r="AE159" s="29">
        <v>0.05</v>
      </c>
    </row>
    <row r="160" spans="1:31" ht="40.049999999999997" customHeight="1" x14ac:dyDescent="0.3">
      <c r="A160" s="6">
        <v>157</v>
      </c>
      <c r="B160" s="7" t="s">
        <v>794</v>
      </c>
      <c r="C160" s="7" t="s">
        <v>795</v>
      </c>
      <c r="D160" s="7">
        <v>2020</v>
      </c>
      <c r="E160" s="7">
        <v>2023</v>
      </c>
      <c r="F160" s="7" t="s">
        <v>439</v>
      </c>
      <c r="G160" s="7" t="s">
        <v>297</v>
      </c>
      <c r="H160" s="7" t="s">
        <v>796</v>
      </c>
      <c r="I160" s="7" t="s">
        <v>64</v>
      </c>
      <c r="J160" s="8">
        <v>1.5</v>
      </c>
      <c r="K160" s="9">
        <f t="shared" si="4"/>
        <v>2020</v>
      </c>
      <c r="L160" s="9">
        <f t="shared" si="4"/>
        <v>2023</v>
      </c>
      <c r="M160" s="9">
        <f t="shared" si="5"/>
        <v>3</v>
      </c>
      <c r="N160" s="10" t="s">
        <v>38</v>
      </c>
      <c r="O160" s="10" t="s">
        <v>93</v>
      </c>
      <c r="P160" s="10" t="s">
        <v>40</v>
      </c>
      <c r="Q160" s="11">
        <v>20</v>
      </c>
      <c r="R160" s="12">
        <v>8</v>
      </c>
      <c r="S160" s="8">
        <v>0.1</v>
      </c>
      <c r="T160" s="8">
        <v>0.05</v>
      </c>
      <c r="U160" s="8">
        <v>0</v>
      </c>
      <c r="V160" s="8">
        <v>0.3</v>
      </c>
      <c r="W160" s="8">
        <v>0.5</v>
      </c>
      <c r="X160" s="8">
        <v>0</v>
      </c>
      <c r="Y160" s="13">
        <f t="shared" si="8"/>
        <v>-0.5</v>
      </c>
      <c r="Z160" s="13">
        <f t="shared" si="8"/>
        <v>-1</v>
      </c>
      <c r="AA160" s="14">
        <f t="shared" si="9"/>
        <v>10</v>
      </c>
      <c r="AB160" s="15">
        <v>0.04</v>
      </c>
      <c r="AC160" s="16">
        <v>60</v>
      </c>
      <c r="AD160" s="16">
        <v>100</v>
      </c>
      <c r="AE160" s="17">
        <v>5.0000000000000001E-3</v>
      </c>
    </row>
    <row r="161" spans="1:31" ht="40.049999999999997" customHeight="1" x14ac:dyDescent="0.3">
      <c r="A161" s="18">
        <v>158</v>
      </c>
      <c r="B161" s="19" t="s">
        <v>797</v>
      </c>
      <c r="C161" s="19" t="s">
        <v>569</v>
      </c>
      <c r="D161" s="19">
        <v>2019</v>
      </c>
      <c r="E161" s="19">
        <v>2024</v>
      </c>
      <c r="F161" s="19" t="s">
        <v>682</v>
      </c>
      <c r="G161" s="19" t="s">
        <v>798</v>
      </c>
      <c r="H161" s="19" t="s">
        <v>799</v>
      </c>
      <c r="I161" s="19" t="s">
        <v>64</v>
      </c>
      <c r="J161" s="20">
        <v>22</v>
      </c>
      <c r="K161" s="21">
        <f t="shared" si="4"/>
        <v>2019</v>
      </c>
      <c r="L161" s="21">
        <f t="shared" si="4"/>
        <v>2024</v>
      </c>
      <c r="M161" s="21">
        <f t="shared" si="5"/>
        <v>5</v>
      </c>
      <c r="N161" s="22" t="s">
        <v>38</v>
      </c>
      <c r="O161" s="22" t="s">
        <v>78</v>
      </c>
      <c r="P161" s="22" t="s">
        <v>79</v>
      </c>
      <c r="Q161" s="23">
        <v>80</v>
      </c>
      <c r="R161" s="24">
        <v>75</v>
      </c>
      <c r="S161" s="20">
        <v>1.5</v>
      </c>
      <c r="T161" s="20">
        <v>2</v>
      </c>
      <c r="U161" s="20">
        <v>0.8</v>
      </c>
      <c r="V161" s="20">
        <v>4</v>
      </c>
      <c r="W161" s="20">
        <v>6</v>
      </c>
      <c r="X161" s="20">
        <v>4</v>
      </c>
      <c r="Y161" s="25">
        <f t="shared" si="8"/>
        <v>0.33333333333333331</v>
      </c>
      <c r="Z161" s="25">
        <f t="shared" si="8"/>
        <v>-0.6</v>
      </c>
      <c r="AA161" s="26">
        <f t="shared" si="9"/>
        <v>3</v>
      </c>
      <c r="AB161" s="27">
        <v>0.5</v>
      </c>
      <c r="AC161" s="28">
        <v>65</v>
      </c>
      <c r="AD161" s="28">
        <v>80</v>
      </c>
      <c r="AE161" s="29">
        <v>0.1</v>
      </c>
    </row>
    <row r="162" spans="1:31" ht="40.049999999999997" customHeight="1" x14ac:dyDescent="0.3">
      <c r="A162" s="6">
        <v>159</v>
      </c>
      <c r="B162" s="7" t="s">
        <v>800</v>
      </c>
      <c r="C162" s="7" t="s">
        <v>569</v>
      </c>
      <c r="D162" s="7">
        <v>2019</v>
      </c>
      <c r="E162" s="7">
        <v>2024</v>
      </c>
      <c r="F162" s="7" t="s">
        <v>532</v>
      </c>
      <c r="G162" s="7" t="s">
        <v>801</v>
      </c>
      <c r="H162" s="7" t="s">
        <v>802</v>
      </c>
      <c r="I162" s="7" t="s">
        <v>64</v>
      </c>
      <c r="J162" s="8">
        <v>36</v>
      </c>
      <c r="K162" s="9">
        <f t="shared" si="4"/>
        <v>2019</v>
      </c>
      <c r="L162" s="9">
        <f t="shared" si="4"/>
        <v>2024</v>
      </c>
      <c r="M162" s="9">
        <f t="shared" si="5"/>
        <v>5</v>
      </c>
      <c r="N162" s="10" t="s">
        <v>56</v>
      </c>
      <c r="O162" s="10" t="s">
        <v>78</v>
      </c>
      <c r="P162" s="10" t="s">
        <v>79</v>
      </c>
      <c r="Q162" s="11">
        <v>120</v>
      </c>
      <c r="R162" s="12">
        <v>100</v>
      </c>
      <c r="S162" s="8">
        <v>2</v>
      </c>
      <c r="T162" s="8">
        <v>3</v>
      </c>
      <c r="U162" s="8">
        <v>1</v>
      </c>
      <c r="V162" s="8">
        <v>5</v>
      </c>
      <c r="W162" s="8">
        <v>7</v>
      </c>
      <c r="X162" s="8">
        <v>5</v>
      </c>
      <c r="Y162" s="13">
        <f t="shared" si="8"/>
        <v>0.5</v>
      </c>
      <c r="Z162" s="13">
        <f t="shared" si="8"/>
        <v>-0.66666666666666663</v>
      </c>
      <c r="AA162" s="14">
        <f t="shared" si="9"/>
        <v>2.3333333333333335</v>
      </c>
      <c r="AB162" s="15">
        <v>0.6</v>
      </c>
      <c r="AC162" s="16">
        <v>65</v>
      </c>
      <c r="AD162" s="16">
        <v>70</v>
      </c>
      <c r="AE162" s="17">
        <v>0.05</v>
      </c>
    </row>
    <row r="163" spans="1:31" ht="40.049999999999997" customHeight="1" x14ac:dyDescent="0.3">
      <c r="A163" s="18">
        <v>160</v>
      </c>
      <c r="B163" s="19" t="s">
        <v>803</v>
      </c>
      <c r="C163" s="19" t="s">
        <v>804</v>
      </c>
      <c r="D163" s="19">
        <v>2019</v>
      </c>
      <c r="E163" s="19">
        <v>2024</v>
      </c>
      <c r="F163" s="19" t="s">
        <v>721</v>
      </c>
      <c r="G163" s="19" t="s">
        <v>805</v>
      </c>
      <c r="H163" s="19" t="s">
        <v>806</v>
      </c>
      <c r="I163" s="19" t="s">
        <v>64</v>
      </c>
      <c r="J163" s="20">
        <v>10</v>
      </c>
      <c r="K163" s="21">
        <f t="shared" si="4"/>
        <v>2019</v>
      </c>
      <c r="L163" s="21">
        <f t="shared" si="4"/>
        <v>2024</v>
      </c>
      <c r="M163" s="21">
        <f t="shared" si="5"/>
        <v>5</v>
      </c>
      <c r="N163" s="22" t="s">
        <v>47</v>
      </c>
      <c r="O163" s="22" t="s">
        <v>78</v>
      </c>
      <c r="P163" s="22" t="s">
        <v>79</v>
      </c>
      <c r="Q163" s="23">
        <v>60</v>
      </c>
      <c r="R163" s="24">
        <v>35</v>
      </c>
      <c r="S163" s="20">
        <v>0.3</v>
      </c>
      <c r="T163" s="20">
        <v>0.5</v>
      </c>
      <c r="U163" s="20">
        <v>0.3</v>
      </c>
      <c r="V163" s="20">
        <v>1.5</v>
      </c>
      <c r="W163" s="20">
        <v>2</v>
      </c>
      <c r="X163" s="20">
        <v>1.5</v>
      </c>
      <c r="Y163" s="25">
        <f t="shared" si="8"/>
        <v>0.66666666666666674</v>
      </c>
      <c r="Z163" s="25">
        <f t="shared" si="8"/>
        <v>-0.4</v>
      </c>
      <c r="AA163" s="26">
        <f t="shared" si="9"/>
        <v>4</v>
      </c>
      <c r="AB163" s="27">
        <v>0.2</v>
      </c>
      <c r="AC163" s="28">
        <v>65</v>
      </c>
      <c r="AD163" s="28">
        <v>60</v>
      </c>
      <c r="AE163" s="29">
        <v>5.0000000000000001E-3</v>
      </c>
    </row>
    <row r="164" spans="1:31" ht="40.049999999999997" customHeight="1" x14ac:dyDescent="0.3">
      <c r="A164" s="6">
        <v>161</v>
      </c>
      <c r="B164" s="7" t="s">
        <v>807</v>
      </c>
      <c r="C164" s="7" t="s">
        <v>808</v>
      </c>
      <c r="D164" s="7">
        <v>2018</v>
      </c>
      <c r="E164" s="7">
        <v>2024</v>
      </c>
      <c r="F164" s="7" t="s">
        <v>809</v>
      </c>
      <c r="G164" s="7" t="s">
        <v>810</v>
      </c>
      <c r="H164" s="7" t="s">
        <v>811</v>
      </c>
      <c r="I164" s="7" t="s">
        <v>64</v>
      </c>
      <c r="J164" s="8">
        <v>30</v>
      </c>
      <c r="K164" s="9">
        <f t="shared" si="4"/>
        <v>2018</v>
      </c>
      <c r="L164" s="9">
        <f t="shared" si="4"/>
        <v>2024</v>
      </c>
      <c r="M164" s="9">
        <f t="shared" si="5"/>
        <v>6</v>
      </c>
      <c r="N164" s="10" t="s">
        <v>38</v>
      </c>
      <c r="O164" s="10" t="s">
        <v>78</v>
      </c>
      <c r="P164" s="10" t="s">
        <v>195</v>
      </c>
      <c r="Q164" s="11">
        <v>250</v>
      </c>
      <c r="R164" s="12">
        <v>100</v>
      </c>
      <c r="S164" s="8">
        <v>5</v>
      </c>
      <c r="T164" s="8">
        <v>8</v>
      </c>
      <c r="U164" s="8">
        <v>6</v>
      </c>
      <c r="V164" s="8">
        <v>4</v>
      </c>
      <c r="W164" s="8">
        <v>6</v>
      </c>
      <c r="X164" s="8">
        <v>5</v>
      </c>
      <c r="Y164" s="13">
        <f t="shared" si="8"/>
        <v>0.6</v>
      </c>
      <c r="Z164" s="13">
        <f t="shared" si="8"/>
        <v>-0.25</v>
      </c>
      <c r="AA164" s="14">
        <f t="shared" si="9"/>
        <v>0.75</v>
      </c>
      <c r="AB164" s="15">
        <v>0.5</v>
      </c>
      <c r="AC164" s="16">
        <v>50</v>
      </c>
      <c r="AD164" s="16">
        <v>50</v>
      </c>
      <c r="AE164" s="17">
        <v>10</v>
      </c>
    </row>
    <row r="165" spans="1:31" ht="40.049999999999997" customHeight="1" x14ac:dyDescent="0.3">
      <c r="A165" s="18">
        <v>162</v>
      </c>
      <c r="B165" s="19" t="s">
        <v>812</v>
      </c>
      <c r="C165" s="19" t="s">
        <v>813</v>
      </c>
      <c r="D165" s="19">
        <v>2019</v>
      </c>
      <c r="E165" s="19">
        <v>2024</v>
      </c>
      <c r="F165" s="19" t="s">
        <v>814</v>
      </c>
      <c r="G165" s="19" t="s">
        <v>815</v>
      </c>
      <c r="H165" s="19" t="s">
        <v>816</v>
      </c>
      <c r="I165" s="19" t="s">
        <v>64</v>
      </c>
      <c r="J165" s="20">
        <v>90</v>
      </c>
      <c r="K165" s="21">
        <f t="shared" si="4"/>
        <v>2019</v>
      </c>
      <c r="L165" s="21">
        <f t="shared" si="4"/>
        <v>2024</v>
      </c>
      <c r="M165" s="21">
        <f t="shared" si="5"/>
        <v>5</v>
      </c>
      <c r="N165" s="22" t="s">
        <v>219</v>
      </c>
      <c r="O165" s="22" t="s">
        <v>116</v>
      </c>
      <c r="P165" s="22" t="s">
        <v>86</v>
      </c>
      <c r="Q165" s="23">
        <v>500</v>
      </c>
      <c r="R165" s="24">
        <v>600</v>
      </c>
      <c r="S165" s="20">
        <v>5</v>
      </c>
      <c r="T165" s="20">
        <v>8</v>
      </c>
      <c r="U165" s="20">
        <v>4</v>
      </c>
      <c r="V165" s="20">
        <v>12</v>
      </c>
      <c r="W165" s="20">
        <v>18</v>
      </c>
      <c r="X165" s="20">
        <v>12</v>
      </c>
      <c r="Y165" s="25">
        <f t="shared" si="8"/>
        <v>0.6</v>
      </c>
      <c r="Z165" s="25">
        <f t="shared" si="8"/>
        <v>-0.5</v>
      </c>
      <c r="AA165" s="26">
        <f t="shared" si="9"/>
        <v>2.25</v>
      </c>
      <c r="AB165" s="27">
        <v>1.5</v>
      </c>
      <c r="AC165" s="28">
        <v>60</v>
      </c>
      <c r="AD165" s="28">
        <v>60</v>
      </c>
      <c r="AE165" s="29">
        <v>8</v>
      </c>
    </row>
    <row r="166" spans="1:31" ht="40.049999999999997" customHeight="1" x14ac:dyDescent="0.3">
      <c r="A166" s="6">
        <v>163</v>
      </c>
      <c r="B166" s="7" t="s">
        <v>817</v>
      </c>
      <c r="C166" s="7" t="s">
        <v>818</v>
      </c>
      <c r="D166" s="7">
        <v>2021</v>
      </c>
      <c r="E166" s="7">
        <v>2024</v>
      </c>
      <c r="F166" s="7" t="s">
        <v>466</v>
      </c>
      <c r="G166" s="7" t="s">
        <v>819</v>
      </c>
      <c r="H166" s="7" t="s">
        <v>820</v>
      </c>
      <c r="I166" s="7" t="s">
        <v>64</v>
      </c>
      <c r="J166" s="8">
        <v>15</v>
      </c>
      <c r="K166" s="9">
        <f t="shared" si="4"/>
        <v>2021</v>
      </c>
      <c r="L166" s="9">
        <f t="shared" si="4"/>
        <v>2024</v>
      </c>
      <c r="M166" s="9">
        <f t="shared" si="5"/>
        <v>3</v>
      </c>
      <c r="N166" s="10" t="s">
        <v>38</v>
      </c>
      <c r="O166" s="10" t="s">
        <v>78</v>
      </c>
      <c r="P166" s="10" t="s">
        <v>79</v>
      </c>
      <c r="Q166" s="11">
        <v>70</v>
      </c>
      <c r="R166" s="12">
        <v>50</v>
      </c>
      <c r="S166" s="8">
        <v>0.5</v>
      </c>
      <c r="T166" s="8">
        <v>1</v>
      </c>
      <c r="U166" s="8">
        <v>0.5</v>
      </c>
      <c r="V166" s="8">
        <v>2</v>
      </c>
      <c r="W166" s="8">
        <v>4</v>
      </c>
      <c r="X166" s="8">
        <v>3</v>
      </c>
      <c r="Y166" s="13">
        <f t="shared" si="8"/>
        <v>1</v>
      </c>
      <c r="Z166" s="13">
        <f t="shared" si="8"/>
        <v>-0.5</v>
      </c>
      <c r="AA166" s="14">
        <f t="shared" si="9"/>
        <v>4</v>
      </c>
      <c r="AB166" s="15">
        <v>0.3</v>
      </c>
      <c r="AC166" s="16">
        <v>65</v>
      </c>
      <c r="AD166" s="16">
        <v>70</v>
      </c>
      <c r="AE166" s="17">
        <v>0.02</v>
      </c>
    </row>
    <row r="167" spans="1:31" ht="40.049999999999997" customHeight="1" x14ac:dyDescent="0.3">
      <c r="A167" s="18">
        <v>164</v>
      </c>
      <c r="B167" s="19" t="s">
        <v>821</v>
      </c>
      <c r="C167" s="19" t="s">
        <v>822</v>
      </c>
      <c r="D167" s="19">
        <v>2020</v>
      </c>
      <c r="E167" s="19">
        <v>2023</v>
      </c>
      <c r="F167" s="19" t="s">
        <v>556</v>
      </c>
      <c r="G167" s="19" t="s">
        <v>823</v>
      </c>
      <c r="H167" s="19" t="s">
        <v>824</v>
      </c>
      <c r="I167" s="19" t="s">
        <v>64</v>
      </c>
      <c r="J167" s="20">
        <v>4</v>
      </c>
      <c r="K167" s="21">
        <f t="shared" si="4"/>
        <v>2020</v>
      </c>
      <c r="L167" s="21">
        <f t="shared" si="4"/>
        <v>2023</v>
      </c>
      <c r="M167" s="21">
        <f t="shared" si="5"/>
        <v>3</v>
      </c>
      <c r="N167" s="22" t="s">
        <v>56</v>
      </c>
      <c r="O167" s="22" t="s">
        <v>93</v>
      </c>
      <c r="P167" s="22" t="s">
        <v>79</v>
      </c>
      <c r="Q167" s="23">
        <v>30</v>
      </c>
      <c r="R167" s="24">
        <v>20</v>
      </c>
      <c r="S167" s="20">
        <v>0.1</v>
      </c>
      <c r="T167" s="20">
        <v>0.2</v>
      </c>
      <c r="U167" s="20">
        <v>0</v>
      </c>
      <c r="V167" s="20">
        <v>0.5</v>
      </c>
      <c r="W167" s="20">
        <v>1</v>
      </c>
      <c r="X167" s="20">
        <v>0</v>
      </c>
      <c r="Y167" s="25">
        <f t="shared" si="8"/>
        <v>1</v>
      </c>
      <c r="Z167" s="25">
        <f t="shared" si="8"/>
        <v>-1</v>
      </c>
      <c r="AA167" s="26">
        <f t="shared" si="9"/>
        <v>5</v>
      </c>
      <c r="AB167" s="27">
        <v>0.1</v>
      </c>
      <c r="AC167" s="28">
        <v>70</v>
      </c>
      <c r="AD167" s="28">
        <v>100</v>
      </c>
      <c r="AE167" s="29">
        <v>0.1</v>
      </c>
    </row>
    <row r="168" spans="1:31" ht="40.049999999999997" customHeight="1" x14ac:dyDescent="0.3">
      <c r="A168" s="6">
        <v>165</v>
      </c>
      <c r="B168" s="7" t="s">
        <v>825</v>
      </c>
      <c r="C168" s="7" t="s">
        <v>826</v>
      </c>
      <c r="D168" s="7">
        <v>2018</v>
      </c>
      <c r="E168" s="7">
        <v>2023</v>
      </c>
      <c r="F168" s="7" t="s">
        <v>392</v>
      </c>
      <c r="G168" s="7" t="s">
        <v>149</v>
      </c>
      <c r="H168" s="7" t="s">
        <v>827</v>
      </c>
      <c r="I168" s="7" t="s">
        <v>64</v>
      </c>
      <c r="J168" s="8">
        <v>1</v>
      </c>
      <c r="K168" s="9">
        <f t="shared" si="4"/>
        <v>2018</v>
      </c>
      <c r="L168" s="9">
        <f t="shared" si="4"/>
        <v>2023</v>
      </c>
      <c r="M168" s="9">
        <f t="shared" si="5"/>
        <v>5</v>
      </c>
      <c r="N168" s="10" t="s">
        <v>167</v>
      </c>
      <c r="O168" s="10" t="s">
        <v>93</v>
      </c>
      <c r="P168" s="10" t="s">
        <v>272</v>
      </c>
      <c r="Q168" s="11">
        <v>15</v>
      </c>
      <c r="R168" s="12">
        <v>5</v>
      </c>
      <c r="S168" s="8">
        <v>0.05</v>
      </c>
      <c r="T168" s="8">
        <v>0.02</v>
      </c>
      <c r="U168" s="8">
        <v>0</v>
      </c>
      <c r="V168" s="8">
        <v>0.2</v>
      </c>
      <c r="W168" s="8">
        <v>0.3</v>
      </c>
      <c r="X168" s="8">
        <v>0</v>
      </c>
      <c r="Y168" s="13">
        <f t="shared" si="8"/>
        <v>-0.6</v>
      </c>
      <c r="Z168" s="13">
        <f t="shared" si="8"/>
        <v>-1</v>
      </c>
      <c r="AA168" s="14">
        <f t="shared" si="9"/>
        <v>15</v>
      </c>
      <c r="AB168" s="15">
        <v>0.03</v>
      </c>
      <c r="AC168" s="16">
        <v>50</v>
      </c>
      <c r="AD168" s="16">
        <v>100</v>
      </c>
      <c r="AE168" s="17">
        <v>0.05</v>
      </c>
    </row>
    <row r="169" spans="1:31" ht="40.049999999999997" customHeight="1" x14ac:dyDescent="0.3">
      <c r="A169" s="18">
        <v>166</v>
      </c>
      <c r="B169" s="19" t="s">
        <v>828</v>
      </c>
      <c r="C169" s="19" t="s">
        <v>416</v>
      </c>
      <c r="D169" s="19">
        <v>2017</v>
      </c>
      <c r="E169" s="19">
        <v>2022</v>
      </c>
      <c r="F169" s="19" t="s">
        <v>763</v>
      </c>
      <c r="G169" s="19" t="s">
        <v>768</v>
      </c>
      <c r="H169" s="19" t="s">
        <v>829</v>
      </c>
      <c r="I169" s="19" t="s">
        <v>64</v>
      </c>
      <c r="J169" s="20">
        <v>0</v>
      </c>
      <c r="K169" s="21">
        <f t="shared" si="4"/>
        <v>2017</v>
      </c>
      <c r="L169" s="21">
        <f t="shared" si="4"/>
        <v>2022</v>
      </c>
      <c r="M169" s="21">
        <f t="shared" si="5"/>
        <v>5</v>
      </c>
      <c r="N169" s="22" t="s">
        <v>38</v>
      </c>
      <c r="O169" s="22" t="s">
        <v>220</v>
      </c>
      <c r="P169" s="22" t="s">
        <v>272</v>
      </c>
      <c r="Q169" s="23">
        <v>800</v>
      </c>
      <c r="R169" s="24">
        <v>0</v>
      </c>
      <c r="S169" s="20">
        <v>30</v>
      </c>
      <c r="T169" s="20">
        <v>15</v>
      </c>
      <c r="U169" s="20">
        <v>0</v>
      </c>
      <c r="V169" s="20">
        <v>25</v>
      </c>
      <c r="W169" s="20">
        <v>30</v>
      </c>
      <c r="X169" s="20">
        <v>0</v>
      </c>
      <c r="Y169" s="25">
        <f t="shared" si="8"/>
        <v>-0.5</v>
      </c>
      <c r="Z169" s="25">
        <f t="shared" si="8"/>
        <v>-1</v>
      </c>
      <c r="AA169" s="26">
        <f t="shared" si="9"/>
        <v>2</v>
      </c>
      <c r="AB169" s="27">
        <v>2.5</v>
      </c>
      <c r="AC169" s="28">
        <v>50</v>
      </c>
      <c r="AD169" s="28">
        <v>70</v>
      </c>
      <c r="AE169" s="29">
        <v>1</v>
      </c>
    </row>
    <row r="170" spans="1:31" ht="40.049999999999997" customHeight="1" x14ac:dyDescent="0.3">
      <c r="A170" s="6">
        <v>167</v>
      </c>
      <c r="B170" s="7" t="s">
        <v>830</v>
      </c>
      <c r="C170" s="7" t="s">
        <v>831</v>
      </c>
      <c r="D170" s="7">
        <v>2015</v>
      </c>
      <c r="E170" s="7">
        <v>2024</v>
      </c>
      <c r="F170" s="7" t="s">
        <v>832</v>
      </c>
      <c r="G170" s="7" t="s">
        <v>833</v>
      </c>
      <c r="H170" s="7" t="s">
        <v>834</v>
      </c>
      <c r="I170" s="7" t="s">
        <v>64</v>
      </c>
      <c r="J170" s="8">
        <v>77</v>
      </c>
      <c r="K170" s="9">
        <f t="shared" si="4"/>
        <v>2015</v>
      </c>
      <c r="L170" s="9">
        <f t="shared" si="4"/>
        <v>2024</v>
      </c>
      <c r="M170" s="9">
        <f t="shared" si="5"/>
        <v>9</v>
      </c>
      <c r="N170" s="10" t="s">
        <v>835</v>
      </c>
      <c r="O170" s="10" t="s">
        <v>116</v>
      </c>
      <c r="P170" s="10" t="s">
        <v>40</v>
      </c>
      <c r="Q170" s="11">
        <v>1500</v>
      </c>
      <c r="R170" s="12">
        <v>200</v>
      </c>
      <c r="S170" s="8">
        <v>80</v>
      </c>
      <c r="T170" s="8">
        <v>100</v>
      </c>
      <c r="U170" s="8">
        <v>40</v>
      </c>
      <c r="V170" s="8">
        <v>12</v>
      </c>
      <c r="W170" s="8">
        <v>18</v>
      </c>
      <c r="X170" s="8">
        <v>15</v>
      </c>
      <c r="Y170" s="13">
        <f t="shared" si="8"/>
        <v>0.25</v>
      </c>
      <c r="Z170" s="13">
        <f t="shared" si="8"/>
        <v>-0.6</v>
      </c>
      <c r="AA170" s="14">
        <f t="shared" si="9"/>
        <v>0.18</v>
      </c>
      <c r="AB170" s="15">
        <v>1.5</v>
      </c>
      <c r="AC170" s="16">
        <v>60</v>
      </c>
      <c r="AD170" s="16">
        <v>80</v>
      </c>
      <c r="AE170" s="17">
        <v>0.5</v>
      </c>
    </row>
    <row r="171" spans="1:31" ht="40.049999999999997" customHeight="1" x14ac:dyDescent="0.3">
      <c r="A171" s="18">
        <v>168</v>
      </c>
      <c r="B171" s="19" t="s">
        <v>836</v>
      </c>
      <c r="C171" s="19" t="s">
        <v>588</v>
      </c>
      <c r="D171" s="19">
        <v>2021</v>
      </c>
      <c r="E171" s="19">
        <v>2024</v>
      </c>
      <c r="F171" s="19" t="s">
        <v>837</v>
      </c>
      <c r="G171" s="19" t="s">
        <v>838</v>
      </c>
      <c r="H171" s="19" t="s">
        <v>839</v>
      </c>
      <c r="I171" s="19" t="s">
        <v>64</v>
      </c>
      <c r="J171" s="20">
        <v>11</v>
      </c>
      <c r="K171" s="21">
        <f t="shared" si="4"/>
        <v>2021</v>
      </c>
      <c r="L171" s="21">
        <f t="shared" si="4"/>
        <v>2024</v>
      </c>
      <c r="M171" s="21">
        <f t="shared" si="5"/>
        <v>3</v>
      </c>
      <c r="N171" s="22" t="s">
        <v>38</v>
      </c>
      <c r="O171" s="22" t="s">
        <v>78</v>
      </c>
      <c r="P171" s="22" t="s">
        <v>86</v>
      </c>
      <c r="Q171" s="23">
        <v>50</v>
      </c>
      <c r="R171" s="24">
        <v>50</v>
      </c>
      <c r="S171" s="20">
        <v>1</v>
      </c>
      <c r="T171" s="20">
        <v>1.5</v>
      </c>
      <c r="U171" s="20">
        <v>0.5</v>
      </c>
      <c r="V171" s="20">
        <v>3</v>
      </c>
      <c r="W171" s="20">
        <v>4</v>
      </c>
      <c r="X171" s="20">
        <v>3</v>
      </c>
      <c r="Y171" s="25">
        <f t="shared" si="8"/>
        <v>0.5</v>
      </c>
      <c r="Z171" s="25">
        <f t="shared" si="8"/>
        <v>-0.66666666666666663</v>
      </c>
      <c r="AA171" s="26">
        <f t="shared" si="9"/>
        <v>2.6666666666666665</v>
      </c>
      <c r="AB171" s="27">
        <v>0.35</v>
      </c>
      <c r="AC171" s="28">
        <v>65</v>
      </c>
      <c r="AD171" s="28">
        <v>80</v>
      </c>
      <c r="AE171" s="29">
        <v>0.05</v>
      </c>
    </row>
    <row r="172" spans="1:31" ht="40.049999999999997" customHeight="1" x14ac:dyDescent="0.3">
      <c r="A172" s="6">
        <v>169</v>
      </c>
      <c r="B172" s="7" t="s">
        <v>840</v>
      </c>
      <c r="C172" s="7" t="s">
        <v>841</v>
      </c>
      <c r="D172" s="7">
        <v>2015</v>
      </c>
      <c r="E172" s="7">
        <v>2024</v>
      </c>
      <c r="F172" s="7" t="s">
        <v>842</v>
      </c>
      <c r="G172" s="7" t="s">
        <v>843</v>
      </c>
      <c r="H172" s="7" t="s">
        <v>844</v>
      </c>
      <c r="I172" s="7" t="s">
        <v>64</v>
      </c>
      <c r="J172" s="8">
        <v>14</v>
      </c>
      <c r="K172" s="9">
        <f t="shared" si="4"/>
        <v>2015</v>
      </c>
      <c r="L172" s="9">
        <f t="shared" si="4"/>
        <v>2024</v>
      </c>
      <c r="M172" s="9">
        <f t="shared" si="5"/>
        <v>9</v>
      </c>
      <c r="N172" s="10" t="s">
        <v>56</v>
      </c>
      <c r="O172" s="10" t="s">
        <v>78</v>
      </c>
      <c r="P172" s="10" t="s">
        <v>40</v>
      </c>
      <c r="Q172" s="11">
        <v>250</v>
      </c>
      <c r="R172" s="12">
        <v>60</v>
      </c>
      <c r="S172" s="8">
        <v>6</v>
      </c>
      <c r="T172" s="8">
        <v>8</v>
      </c>
      <c r="U172" s="8">
        <v>5</v>
      </c>
      <c r="V172" s="8">
        <v>4</v>
      </c>
      <c r="W172" s="8">
        <v>6</v>
      </c>
      <c r="X172" s="8">
        <v>5</v>
      </c>
      <c r="Y172" s="13">
        <f t="shared" si="8"/>
        <v>0.33333333333333331</v>
      </c>
      <c r="Z172" s="13">
        <f t="shared" si="8"/>
        <v>-0.375</v>
      </c>
      <c r="AA172" s="14">
        <f t="shared" si="9"/>
        <v>0.75</v>
      </c>
      <c r="AB172" s="15">
        <v>0.5</v>
      </c>
      <c r="AC172" s="16">
        <v>55</v>
      </c>
      <c r="AD172" s="16">
        <v>50</v>
      </c>
      <c r="AE172" s="17">
        <v>0.1</v>
      </c>
    </row>
    <row r="173" spans="1:31" ht="40.049999999999997" customHeight="1" x14ac:dyDescent="0.3">
      <c r="A173" s="18">
        <v>170</v>
      </c>
      <c r="B173" s="19" t="s">
        <v>845</v>
      </c>
      <c r="C173" s="19" t="s">
        <v>846</v>
      </c>
      <c r="D173" s="19">
        <v>2015</v>
      </c>
      <c r="E173" s="19">
        <v>2024</v>
      </c>
      <c r="F173" s="19" t="s">
        <v>721</v>
      </c>
      <c r="G173" s="19" t="s">
        <v>847</v>
      </c>
      <c r="H173" s="19" t="s">
        <v>848</v>
      </c>
      <c r="I173" s="19" t="s">
        <v>64</v>
      </c>
      <c r="J173" s="20">
        <v>10</v>
      </c>
      <c r="K173" s="21">
        <f t="shared" si="4"/>
        <v>2015</v>
      </c>
      <c r="L173" s="21">
        <f t="shared" si="4"/>
        <v>2024</v>
      </c>
      <c r="M173" s="21">
        <f t="shared" si="5"/>
        <v>9</v>
      </c>
      <c r="N173" s="22" t="s">
        <v>47</v>
      </c>
      <c r="O173" s="22" t="s">
        <v>78</v>
      </c>
      <c r="P173" s="22" t="s">
        <v>58</v>
      </c>
      <c r="Q173" s="23">
        <v>300</v>
      </c>
      <c r="R173" s="24">
        <v>200</v>
      </c>
      <c r="S173" s="20">
        <v>12</v>
      </c>
      <c r="T173" s="20">
        <v>18</v>
      </c>
      <c r="U173" s="20">
        <v>10</v>
      </c>
      <c r="V173" s="20">
        <v>4</v>
      </c>
      <c r="W173" s="20">
        <v>6</v>
      </c>
      <c r="X173" s="20">
        <v>5</v>
      </c>
      <c r="Y173" s="25">
        <f t="shared" si="8"/>
        <v>0.5</v>
      </c>
      <c r="Z173" s="25">
        <f t="shared" si="8"/>
        <v>-0.44444444444444442</v>
      </c>
      <c r="AA173" s="26">
        <f t="shared" si="9"/>
        <v>0.33333333333333331</v>
      </c>
      <c r="AB173" s="27">
        <v>0.5</v>
      </c>
      <c r="AC173" s="28">
        <v>50</v>
      </c>
      <c r="AD173" s="28">
        <v>60</v>
      </c>
      <c r="AE173" s="29">
        <v>0.3</v>
      </c>
    </row>
    <row r="174" spans="1:31" ht="40.049999999999997" customHeight="1" x14ac:dyDescent="0.3">
      <c r="A174" s="6">
        <v>171</v>
      </c>
      <c r="B174" s="7" t="s">
        <v>849</v>
      </c>
      <c r="C174" s="7" t="s">
        <v>850</v>
      </c>
      <c r="D174" s="7">
        <v>2015</v>
      </c>
      <c r="E174" s="7">
        <v>2025</v>
      </c>
      <c r="F174" s="7" t="s">
        <v>851</v>
      </c>
      <c r="G174" s="7" t="s">
        <v>852</v>
      </c>
      <c r="H174" s="7" t="s">
        <v>853</v>
      </c>
      <c r="I174" s="7" t="s">
        <v>64</v>
      </c>
      <c r="J174" s="8">
        <v>252</v>
      </c>
      <c r="K174" s="9">
        <f t="shared" si="4"/>
        <v>2015</v>
      </c>
      <c r="L174" s="9">
        <f t="shared" si="4"/>
        <v>2025</v>
      </c>
      <c r="M174" s="9">
        <f t="shared" si="5"/>
        <v>10</v>
      </c>
      <c r="N174" s="10" t="s">
        <v>56</v>
      </c>
      <c r="O174" s="10" t="s">
        <v>57</v>
      </c>
      <c r="P174" s="10" t="s">
        <v>40</v>
      </c>
      <c r="Q174" s="11">
        <v>700</v>
      </c>
      <c r="R174" s="12">
        <v>980</v>
      </c>
      <c r="S174" s="8">
        <v>110</v>
      </c>
      <c r="T174" s="8">
        <v>140</v>
      </c>
      <c r="U174" s="8">
        <v>80</v>
      </c>
      <c r="V174" s="8">
        <v>20</v>
      </c>
      <c r="W174" s="8">
        <v>23</v>
      </c>
      <c r="X174" s="8">
        <v>30</v>
      </c>
      <c r="Y174" s="13">
        <f t="shared" si="8"/>
        <v>0.27272727272727271</v>
      </c>
      <c r="Z174" s="13">
        <f t="shared" si="8"/>
        <v>-0.42857142857142855</v>
      </c>
      <c r="AA174" s="14">
        <f t="shared" si="9"/>
        <v>0.16428571428571428</v>
      </c>
      <c r="AB174" s="15">
        <v>2.5</v>
      </c>
      <c r="AC174" s="16">
        <v>80</v>
      </c>
      <c r="AD174" s="16">
        <v>80</v>
      </c>
      <c r="AE174" s="17">
        <v>1</v>
      </c>
    </row>
    <row r="175" spans="1:31" ht="40.049999999999997" customHeight="1" x14ac:dyDescent="0.3">
      <c r="A175" s="18">
        <v>172</v>
      </c>
      <c r="B175" s="19" t="s">
        <v>854</v>
      </c>
      <c r="C175" s="19" t="s">
        <v>855</v>
      </c>
      <c r="D175" s="19">
        <v>2017</v>
      </c>
      <c r="E175" s="19">
        <v>2025</v>
      </c>
      <c r="F175" s="19" t="s">
        <v>159</v>
      </c>
      <c r="G175" s="19" t="s">
        <v>856</v>
      </c>
      <c r="H175" s="19" t="s">
        <v>857</v>
      </c>
      <c r="I175" s="19" t="s">
        <v>64</v>
      </c>
      <c r="J175" s="20">
        <v>5</v>
      </c>
      <c r="K175" s="21">
        <f t="shared" si="4"/>
        <v>2017</v>
      </c>
      <c r="L175" s="21">
        <f t="shared" si="4"/>
        <v>2025</v>
      </c>
      <c r="M175" s="21">
        <f t="shared" si="5"/>
        <v>8</v>
      </c>
      <c r="N175" s="22" t="s">
        <v>56</v>
      </c>
      <c r="O175" s="22" t="s">
        <v>858</v>
      </c>
      <c r="P175" s="22" t="s">
        <v>40</v>
      </c>
      <c r="Q175" s="23">
        <v>200</v>
      </c>
      <c r="R175" s="24">
        <v>80</v>
      </c>
      <c r="S175" s="20">
        <v>1</v>
      </c>
      <c r="T175" s="20">
        <v>2</v>
      </c>
      <c r="U175" s="20">
        <v>1</v>
      </c>
      <c r="V175" s="20">
        <v>1</v>
      </c>
      <c r="W175" s="20">
        <v>2</v>
      </c>
      <c r="X175" s="20">
        <v>2</v>
      </c>
      <c r="Y175" s="25">
        <f t="shared" si="8"/>
        <v>1</v>
      </c>
      <c r="Z175" s="25">
        <f t="shared" si="8"/>
        <v>-0.5</v>
      </c>
      <c r="AA175" s="26">
        <f t="shared" si="9"/>
        <v>1</v>
      </c>
      <c r="AB175" s="27">
        <v>0.2</v>
      </c>
      <c r="AC175" s="28">
        <v>90</v>
      </c>
      <c r="AD175" s="28">
        <v>60</v>
      </c>
      <c r="AE175" s="29">
        <v>0.05</v>
      </c>
    </row>
    <row r="176" spans="1:31" ht="40.049999999999997" customHeight="1" x14ac:dyDescent="0.3">
      <c r="A176" s="6">
        <v>173</v>
      </c>
      <c r="B176" s="7" t="s">
        <v>859</v>
      </c>
      <c r="C176" s="7" t="s">
        <v>860</v>
      </c>
      <c r="D176" s="7">
        <v>2019</v>
      </c>
      <c r="E176" s="7">
        <v>2024</v>
      </c>
      <c r="F176" s="7" t="s">
        <v>861</v>
      </c>
      <c r="G176" s="7" t="s">
        <v>862</v>
      </c>
      <c r="H176" s="7" t="s">
        <v>863</v>
      </c>
      <c r="I176" s="7" t="s">
        <v>64</v>
      </c>
      <c r="J176" s="8">
        <v>175</v>
      </c>
      <c r="K176" s="9">
        <f t="shared" si="4"/>
        <v>2019</v>
      </c>
      <c r="L176" s="9">
        <f t="shared" si="4"/>
        <v>2024</v>
      </c>
      <c r="M176" s="9">
        <f t="shared" si="5"/>
        <v>5</v>
      </c>
      <c r="N176" s="10" t="s">
        <v>38</v>
      </c>
      <c r="O176" s="10" t="s">
        <v>116</v>
      </c>
      <c r="P176" s="10" t="s">
        <v>40</v>
      </c>
      <c r="Q176" s="11">
        <v>1000</v>
      </c>
      <c r="R176" s="12">
        <v>500</v>
      </c>
      <c r="S176" s="8">
        <v>50</v>
      </c>
      <c r="T176" s="8">
        <v>80</v>
      </c>
      <c r="U176" s="8">
        <v>40</v>
      </c>
      <c r="V176" s="8">
        <v>25</v>
      </c>
      <c r="W176" s="8">
        <v>35</v>
      </c>
      <c r="X176" s="8">
        <v>25</v>
      </c>
      <c r="Y176" s="13">
        <f t="shared" si="8"/>
        <v>0.6</v>
      </c>
      <c r="Z176" s="13">
        <f t="shared" si="8"/>
        <v>-0.5</v>
      </c>
      <c r="AA176" s="14">
        <f t="shared" si="9"/>
        <v>0.4375</v>
      </c>
      <c r="AB176" s="15">
        <v>2.8</v>
      </c>
      <c r="AC176" s="16">
        <v>60</v>
      </c>
      <c r="AD176" s="16">
        <v>50</v>
      </c>
      <c r="AE176" s="17">
        <v>0.1</v>
      </c>
    </row>
    <row r="177" spans="1:31" ht="40.049999999999997" customHeight="1" x14ac:dyDescent="0.3">
      <c r="A177" s="18">
        <v>174</v>
      </c>
      <c r="B177" s="19" t="s">
        <v>864</v>
      </c>
      <c r="C177" s="19" t="s">
        <v>865</v>
      </c>
      <c r="D177" s="19">
        <v>2019</v>
      </c>
      <c r="E177" s="19">
        <v>2024</v>
      </c>
      <c r="F177" s="19" t="s">
        <v>866</v>
      </c>
      <c r="G177" s="19" t="s">
        <v>867</v>
      </c>
      <c r="H177" s="19" t="s">
        <v>868</v>
      </c>
      <c r="I177" s="19" t="s">
        <v>64</v>
      </c>
      <c r="J177" s="20">
        <v>190</v>
      </c>
      <c r="K177" s="21">
        <f t="shared" si="4"/>
        <v>2019</v>
      </c>
      <c r="L177" s="21">
        <f t="shared" si="4"/>
        <v>2024</v>
      </c>
      <c r="M177" s="21">
        <f t="shared" si="5"/>
        <v>5</v>
      </c>
      <c r="N177" s="22" t="s">
        <v>38</v>
      </c>
      <c r="O177" s="22" t="s">
        <v>116</v>
      </c>
      <c r="P177" s="22" t="s">
        <v>40</v>
      </c>
      <c r="Q177" s="23">
        <v>800</v>
      </c>
      <c r="R177" s="24">
        <v>1100</v>
      </c>
      <c r="S177" s="20">
        <v>8</v>
      </c>
      <c r="T177" s="20">
        <v>15</v>
      </c>
      <c r="U177" s="20">
        <v>12</v>
      </c>
      <c r="V177" s="20">
        <v>15</v>
      </c>
      <c r="W177" s="20">
        <v>22</v>
      </c>
      <c r="X177" s="20">
        <v>18</v>
      </c>
      <c r="Y177" s="25">
        <f t="shared" si="8"/>
        <v>0.875</v>
      </c>
      <c r="Z177" s="25">
        <f t="shared" si="8"/>
        <v>-0.2</v>
      </c>
      <c r="AA177" s="26">
        <f t="shared" si="9"/>
        <v>1.4666666666666666</v>
      </c>
      <c r="AB177" s="27">
        <v>1.8</v>
      </c>
      <c r="AC177" s="28">
        <v>50</v>
      </c>
      <c r="AD177" s="28">
        <v>40</v>
      </c>
      <c r="AE177" s="29">
        <v>60</v>
      </c>
    </row>
    <row r="178" spans="1:31" ht="40.049999999999997" customHeight="1" x14ac:dyDescent="0.3">
      <c r="A178" s="6">
        <v>175</v>
      </c>
      <c r="B178" s="7" t="s">
        <v>869</v>
      </c>
      <c r="C178" s="7" t="s">
        <v>870</v>
      </c>
      <c r="D178" s="7">
        <v>2020</v>
      </c>
      <c r="E178" s="7">
        <v>2024</v>
      </c>
      <c r="F178" s="7" t="s">
        <v>871</v>
      </c>
      <c r="G178" s="7" t="s">
        <v>872</v>
      </c>
      <c r="H178" s="7" t="s">
        <v>873</v>
      </c>
      <c r="I178" s="7" t="s">
        <v>64</v>
      </c>
      <c r="J178" s="8">
        <v>20</v>
      </c>
      <c r="K178" s="9">
        <f t="shared" si="4"/>
        <v>2020</v>
      </c>
      <c r="L178" s="9">
        <f t="shared" si="4"/>
        <v>2024</v>
      </c>
      <c r="M178" s="9">
        <f t="shared" si="5"/>
        <v>4</v>
      </c>
      <c r="N178" s="10" t="s">
        <v>38</v>
      </c>
      <c r="O178" s="10" t="s">
        <v>78</v>
      </c>
      <c r="P178" s="10" t="s">
        <v>79</v>
      </c>
      <c r="Q178" s="11">
        <v>150</v>
      </c>
      <c r="R178" s="12">
        <v>75</v>
      </c>
      <c r="S178" s="8">
        <v>1</v>
      </c>
      <c r="T178" s="8">
        <v>1.5</v>
      </c>
      <c r="U178" s="8">
        <v>0.8</v>
      </c>
      <c r="V178" s="8">
        <v>5</v>
      </c>
      <c r="W178" s="8">
        <v>7</v>
      </c>
      <c r="X178" s="8">
        <v>5</v>
      </c>
      <c r="Y178" s="13">
        <f t="shared" si="8"/>
        <v>0.5</v>
      </c>
      <c r="Z178" s="13">
        <f t="shared" si="8"/>
        <v>-0.46666666666666662</v>
      </c>
      <c r="AA178" s="14">
        <f t="shared" si="9"/>
        <v>4.666666666666667</v>
      </c>
      <c r="AB178" s="15">
        <v>0.5</v>
      </c>
      <c r="AC178" s="16">
        <v>60</v>
      </c>
      <c r="AD178" s="16">
        <v>70</v>
      </c>
      <c r="AE178" s="17">
        <v>5</v>
      </c>
    </row>
    <row r="179" spans="1:31" ht="40.049999999999997" customHeight="1" x14ac:dyDescent="0.3">
      <c r="A179" s="18">
        <v>176</v>
      </c>
      <c r="B179" s="19" t="s">
        <v>874</v>
      </c>
      <c r="C179" s="19" t="s">
        <v>875</v>
      </c>
      <c r="D179" s="19">
        <v>2019</v>
      </c>
      <c r="E179" s="19">
        <v>2024</v>
      </c>
      <c r="F179" s="19" t="s">
        <v>876</v>
      </c>
      <c r="G179" s="19" t="s">
        <v>877</v>
      </c>
      <c r="H179" s="19" t="s">
        <v>878</v>
      </c>
      <c r="I179" s="19" t="s">
        <v>64</v>
      </c>
      <c r="J179" s="20">
        <v>98</v>
      </c>
      <c r="K179" s="21">
        <f t="shared" si="4"/>
        <v>2019</v>
      </c>
      <c r="L179" s="21">
        <f t="shared" si="4"/>
        <v>2024</v>
      </c>
      <c r="M179" s="21">
        <f t="shared" si="5"/>
        <v>5</v>
      </c>
      <c r="N179" s="22" t="s">
        <v>47</v>
      </c>
      <c r="O179" s="22" t="s">
        <v>48</v>
      </c>
      <c r="P179" s="22" t="s">
        <v>40</v>
      </c>
      <c r="Q179" s="23">
        <v>500</v>
      </c>
      <c r="R179" s="24">
        <v>250</v>
      </c>
      <c r="S179" s="20">
        <v>10</v>
      </c>
      <c r="T179" s="20">
        <v>18</v>
      </c>
      <c r="U179" s="20">
        <v>14</v>
      </c>
      <c r="V179" s="20">
        <v>8</v>
      </c>
      <c r="W179" s="20">
        <v>12</v>
      </c>
      <c r="X179" s="20">
        <v>10</v>
      </c>
      <c r="Y179" s="25">
        <f t="shared" si="8"/>
        <v>0.8</v>
      </c>
      <c r="Z179" s="25">
        <f t="shared" si="8"/>
        <v>-0.22222222222222221</v>
      </c>
      <c r="AA179" s="26">
        <f t="shared" si="9"/>
        <v>0.66666666666666663</v>
      </c>
      <c r="AB179" s="27">
        <v>1</v>
      </c>
      <c r="AC179" s="28">
        <v>55</v>
      </c>
      <c r="AD179" s="28">
        <v>50</v>
      </c>
      <c r="AE179" s="29">
        <v>12</v>
      </c>
    </row>
    <row r="180" spans="1:31" ht="40.049999999999997" customHeight="1" x14ac:dyDescent="0.3">
      <c r="A180" s="6">
        <v>177</v>
      </c>
      <c r="B180" s="7" t="s">
        <v>879</v>
      </c>
      <c r="C180" s="7" t="s">
        <v>880</v>
      </c>
      <c r="D180" s="7">
        <v>2018</v>
      </c>
      <c r="E180" s="7">
        <v>2023</v>
      </c>
      <c r="F180" s="7" t="s">
        <v>439</v>
      </c>
      <c r="G180" s="7" t="s">
        <v>297</v>
      </c>
      <c r="H180" s="7" t="s">
        <v>881</v>
      </c>
      <c r="I180" s="7" t="s">
        <v>64</v>
      </c>
      <c r="J180" s="8">
        <v>1.5</v>
      </c>
      <c r="K180" s="9">
        <f t="shared" si="4"/>
        <v>2018</v>
      </c>
      <c r="L180" s="9">
        <f t="shared" si="4"/>
        <v>2023</v>
      </c>
      <c r="M180" s="9">
        <f t="shared" si="5"/>
        <v>5</v>
      </c>
      <c r="N180" s="10" t="s">
        <v>38</v>
      </c>
      <c r="O180" s="10" t="s">
        <v>93</v>
      </c>
      <c r="P180" s="10" t="s">
        <v>79</v>
      </c>
      <c r="Q180" s="11">
        <v>25</v>
      </c>
      <c r="R180" s="12">
        <v>8</v>
      </c>
      <c r="S180" s="8">
        <v>0.3</v>
      </c>
      <c r="T180" s="8">
        <v>0.2</v>
      </c>
      <c r="U180" s="8">
        <v>0</v>
      </c>
      <c r="V180" s="8">
        <v>0.5</v>
      </c>
      <c r="W180" s="8">
        <v>0.7</v>
      </c>
      <c r="X180" s="8">
        <v>0</v>
      </c>
      <c r="Y180" s="13">
        <f t="shared" si="8"/>
        <v>-0.33333333333333326</v>
      </c>
      <c r="Z180" s="13">
        <f t="shared" si="8"/>
        <v>-1</v>
      </c>
      <c r="AA180" s="14">
        <f t="shared" si="9"/>
        <v>3.4999999999999996</v>
      </c>
      <c r="AB180" s="15">
        <v>0.06</v>
      </c>
      <c r="AC180" s="16">
        <v>60</v>
      </c>
      <c r="AD180" s="16">
        <v>100</v>
      </c>
      <c r="AE180" s="17">
        <v>0.01</v>
      </c>
    </row>
    <row r="181" spans="1:31" ht="40.049999999999997" customHeight="1" x14ac:dyDescent="0.3">
      <c r="A181" s="30"/>
      <c r="B181" s="31"/>
      <c r="C181" s="31"/>
      <c r="D181" s="31"/>
      <c r="E181" s="31"/>
      <c r="F181" s="31"/>
      <c r="G181" s="31"/>
      <c r="H181" s="31"/>
      <c r="I181" s="32"/>
      <c r="J181" s="20"/>
      <c r="K181" s="21"/>
      <c r="L181" s="21"/>
      <c r="M181" s="21"/>
      <c r="N181" s="22"/>
      <c r="O181" s="22"/>
      <c r="P181" s="22"/>
      <c r="Q181" s="23"/>
      <c r="R181" s="24"/>
      <c r="S181" s="20"/>
      <c r="T181" s="20"/>
      <c r="U181" s="20"/>
      <c r="V181" s="20"/>
      <c r="W181" s="20"/>
      <c r="X181" s="20"/>
      <c r="Y181" s="25"/>
      <c r="Z181" s="25"/>
      <c r="AA181" s="26"/>
      <c r="AB181" s="27"/>
      <c r="AC181" s="28"/>
      <c r="AD181" s="28"/>
      <c r="AE181" s="29"/>
    </row>
    <row r="182" spans="1:31" ht="40.049999999999997" customHeight="1" x14ac:dyDescent="0.3">
      <c r="A182" s="6">
        <v>179</v>
      </c>
      <c r="B182" s="7" t="s">
        <v>882</v>
      </c>
      <c r="C182" s="7" t="s">
        <v>191</v>
      </c>
      <c r="D182" s="7">
        <v>2015</v>
      </c>
      <c r="E182" s="7">
        <v>2025</v>
      </c>
      <c r="F182" s="7" t="s">
        <v>883</v>
      </c>
      <c r="G182" s="7" t="s">
        <v>884</v>
      </c>
      <c r="H182" s="7" t="s">
        <v>885</v>
      </c>
      <c r="I182" s="7" t="s">
        <v>64</v>
      </c>
      <c r="J182" s="8">
        <v>880</v>
      </c>
      <c r="K182" s="9">
        <f t="shared" si="4"/>
        <v>2015</v>
      </c>
      <c r="L182" s="9">
        <f t="shared" si="4"/>
        <v>2025</v>
      </c>
      <c r="M182" s="9">
        <f t="shared" si="5"/>
        <v>10</v>
      </c>
      <c r="N182" s="10" t="s">
        <v>38</v>
      </c>
      <c r="O182" s="10" t="s">
        <v>220</v>
      </c>
      <c r="P182" s="10" t="s">
        <v>40</v>
      </c>
      <c r="Q182" s="11">
        <v>6500</v>
      </c>
      <c r="R182" s="12">
        <v>3400</v>
      </c>
      <c r="S182" s="8">
        <v>90</v>
      </c>
      <c r="T182" s="8">
        <v>105</v>
      </c>
      <c r="U182" s="8">
        <v>75</v>
      </c>
      <c r="V182" s="8">
        <v>320</v>
      </c>
      <c r="W182" s="8">
        <v>200</v>
      </c>
      <c r="X182" s="8">
        <v>130</v>
      </c>
      <c r="Y182" s="13">
        <f t="shared" si="8"/>
        <v>0.16666666666666666</v>
      </c>
      <c r="Z182" s="13">
        <f t="shared" si="8"/>
        <v>-0.2857142857142857</v>
      </c>
      <c r="AA182" s="14">
        <f t="shared" si="9"/>
        <v>1.9047619047619047</v>
      </c>
      <c r="AB182" s="15">
        <v>22</v>
      </c>
      <c r="AC182" s="16">
        <v>75</v>
      </c>
      <c r="AD182" s="16">
        <v>50</v>
      </c>
      <c r="AE182" s="17">
        <v>50</v>
      </c>
    </row>
    <row r="183" spans="1:31" ht="40.049999999999997" customHeight="1" x14ac:dyDescent="0.3">
      <c r="A183" s="18">
        <v>180</v>
      </c>
      <c r="B183" s="19" t="s">
        <v>886</v>
      </c>
      <c r="C183" s="19" t="s">
        <v>887</v>
      </c>
      <c r="D183" s="19">
        <v>2015</v>
      </c>
      <c r="E183" s="19">
        <v>2024</v>
      </c>
      <c r="F183" s="19" t="s">
        <v>888</v>
      </c>
      <c r="G183" s="19" t="s">
        <v>889</v>
      </c>
      <c r="H183" s="19" t="s">
        <v>890</v>
      </c>
      <c r="I183" s="19" t="s">
        <v>64</v>
      </c>
      <c r="J183" s="20">
        <v>1600</v>
      </c>
      <c r="K183" s="21">
        <f t="shared" si="4"/>
        <v>2015</v>
      </c>
      <c r="L183" s="21">
        <f t="shared" si="4"/>
        <v>2024</v>
      </c>
      <c r="M183" s="21">
        <f t="shared" si="5"/>
        <v>9</v>
      </c>
      <c r="N183" s="22" t="s">
        <v>56</v>
      </c>
      <c r="O183" s="22" t="s">
        <v>220</v>
      </c>
      <c r="P183" s="22" t="s">
        <v>40</v>
      </c>
      <c r="Q183" s="23">
        <v>7500</v>
      </c>
      <c r="R183" s="24">
        <v>5600</v>
      </c>
      <c r="S183" s="20">
        <v>700</v>
      </c>
      <c r="T183" s="20">
        <v>750</v>
      </c>
      <c r="U183" s="20">
        <v>670</v>
      </c>
      <c r="V183" s="20">
        <v>280</v>
      </c>
      <c r="W183" s="20">
        <v>600</v>
      </c>
      <c r="X183" s="20">
        <v>380</v>
      </c>
      <c r="Y183" s="25">
        <f t="shared" si="8"/>
        <v>7.1428571428571425E-2</v>
      </c>
      <c r="Z183" s="25">
        <f t="shared" si="8"/>
        <v>-0.10666666666666667</v>
      </c>
      <c r="AA183" s="26">
        <f t="shared" si="9"/>
        <v>0.8</v>
      </c>
      <c r="AB183" s="27">
        <v>35</v>
      </c>
      <c r="AC183" s="28">
        <v>91</v>
      </c>
      <c r="AD183" s="28">
        <v>30</v>
      </c>
      <c r="AE183" s="29">
        <v>18</v>
      </c>
    </row>
    <row r="184" spans="1:31" ht="40.049999999999997" customHeight="1" x14ac:dyDescent="0.3">
      <c r="A184" s="6">
        <v>181</v>
      </c>
      <c r="B184" s="7" t="s">
        <v>891</v>
      </c>
      <c r="C184" s="7" t="s">
        <v>204</v>
      </c>
      <c r="D184" s="7">
        <v>2016</v>
      </c>
      <c r="E184" s="7">
        <v>2024</v>
      </c>
      <c r="F184" s="7" t="s">
        <v>888</v>
      </c>
      <c r="G184" s="7" t="s">
        <v>892</v>
      </c>
      <c r="H184" s="7" t="s">
        <v>893</v>
      </c>
      <c r="I184" s="7" t="s">
        <v>64</v>
      </c>
      <c r="J184" s="8">
        <v>1600</v>
      </c>
      <c r="K184" s="9">
        <f t="shared" si="4"/>
        <v>2016</v>
      </c>
      <c r="L184" s="9">
        <f t="shared" si="4"/>
        <v>2024</v>
      </c>
      <c r="M184" s="9">
        <f t="shared" si="5"/>
        <v>8</v>
      </c>
      <c r="N184" s="10" t="s">
        <v>38</v>
      </c>
      <c r="O184" s="10" t="s">
        <v>220</v>
      </c>
      <c r="P184" s="10" t="s">
        <v>40</v>
      </c>
      <c r="Q184" s="11">
        <v>5000</v>
      </c>
      <c r="R184" s="12">
        <v>3100</v>
      </c>
      <c r="S184" s="8">
        <v>750</v>
      </c>
      <c r="T184" s="8">
        <v>700</v>
      </c>
      <c r="U184" s="8">
        <v>600</v>
      </c>
      <c r="V184" s="8">
        <v>350</v>
      </c>
      <c r="W184" s="8">
        <v>360</v>
      </c>
      <c r="X184" s="8">
        <v>290</v>
      </c>
      <c r="Y184" s="13">
        <f t="shared" si="8"/>
        <v>-6.6666666666666666E-2</v>
      </c>
      <c r="Z184" s="13">
        <f t="shared" si="8"/>
        <v>-0.14285714285714285</v>
      </c>
      <c r="AA184" s="14">
        <f t="shared" si="9"/>
        <v>0.51428571428571423</v>
      </c>
      <c r="AB184" s="15">
        <v>28</v>
      </c>
      <c r="AC184" s="16">
        <v>60</v>
      </c>
      <c r="AD184" s="16">
        <v>40</v>
      </c>
      <c r="AE184" s="17">
        <v>4</v>
      </c>
    </row>
    <row r="185" spans="1:31" ht="40.049999999999997" customHeight="1" x14ac:dyDescent="0.3">
      <c r="A185" s="18">
        <v>182</v>
      </c>
      <c r="B185" s="19" t="s">
        <v>894</v>
      </c>
      <c r="C185" s="19" t="s">
        <v>191</v>
      </c>
      <c r="D185" s="19">
        <v>2014</v>
      </c>
      <c r="E185" s="19">
        <v>2024</v>
      </c>
      <c r="F185" s="19" t="s">
        <v>774</v>
      </c>
      <c r="G185" s="19" t="s">
        <v>895</v>
      </c>
      <c r="H185" s="19" t="s">
        <v>896</v>
      </c>
      <c r="I185" s="19" t="s">
        <v>64</v>
      </c>
      <c r="J185" s="20">
        <v>300</v>
      </c>
      <c r="K185" s="21">
        <f t="shared" si="4"/>
        <v>2014</v>
      </c>
      <c r="L185" s="21">
        <f t="shared" si="4"/>
        <v>2024</v>
      </c>
      <c r="M185" s="21">
        <f t="shared" si="5"/>
        <v>10</v>
      </c>
      <c r="N185" s="22" t="s">
        <v>38</v>
      </c>
      <c r="O185" s="22" t="s">
        <v>220</v>
      </c>
      <c r="P185" s="22" t="s">
        <v>40</v>
      </c>
      <c r="Q185" s="23">
        <v>6000</v>
      </c>
      <c r="R185" s="24">
        <v>1000</v>
      </c>
      <c r="S185" s="20">
        <v>25</v>
      </c>
      <c r="T185" s="20">
        <v>30</v>
      </c>
      <c r="U185" s="20">
        <v>22</v>
      </c>
      <c r="V185" s="20">
        <v>75</v>
      </c>
      <c r="W185" s="20">
        <v>90</v>
      </c>
      <c r="X185" s="20">
        <v>60</v>
      </c>
      <c r="Y185" s="25">
        <f t="shared" si="8"/>
        <v>0.2</v>
      </c>
      <c r="Z185" s="25">
        <f t="shared" si="8"/>
        <v>-0.26666666666666666</v>
      </c>
      <c r="AA185" s="26">
        <f t="shared" si="9"/>
        <v>3</v>
      </c>
      <c r="AB185" s="27">
        <v>7</v>
      </c>
      <c r="AC185" s="28">
        <v>80</v>
      </c>
      <c r="AD185" s="28">
        <v>80</v>
      </c>
      <c r="AE185" s="29">
        <v>35</v>
      </c>
    </row>
    <row r="186" spans="1:31" ht="40.049999999999997" customHeight="1" x14ac:dyDescent="0.3">
      <c r="A186" s="33">
        <v>183</v>
      </c>
      <c r="B186" s="34" t="s">
        <v>897</v>
      </c>
      <c r="C186" s="34" t="s">
        <v>898</v>
      </c>
      <c r="D186" s="34">
        <v>2015</v>
      </c>
      <c r="E186" s="34">
        <v>2024</v>
      </c>
      <c r="F186" s="34" t="s">
        <v>899</v>
      </c>
      <c r="G186" s="34" t="s">
        <v>900</v>
      </c>
      <c r="H186" s="34" t="s">
        <v>901</v>
      </c>
      <c r="I186" s="34" t="s">
        <v>64</v>
      </c>
      <c r="J186" s="35">
        <v>72</v>
      </c>
      <c r="K186" s="36">
        <f t="shared" si="4"/>
        <v>2015</v>
      </c>
      <c r="L186" s="36">
        <f t="shared" si="4"/>
        <v>2024</v>
      </c>
      <c r="M186" s="36">
        <f t="shared" si="5"/>
        <v>9</v>
      </c>
      <c r="N186" s="37" t="s">
        <v>219</v>
      </c>
      <c r="O186" s="37" t="s">
        <v>48</v>
      </c>
      <c r="P186" s="37" t="s">
        <v>40</v>
      </c>
      <c r="Q186" s="38">
        <v>600</v>
      </c>
      <c r="R186" s="39">
        <v>270</v>
      </c>
      <c r="S186" s="35">
        <v>25</v>
      </c>
      <c r="T186" s="35">
        <v>30</v>
      </c>
      <c r="U186" s="35">
        <v>18</v>
      </c>
      <c r="V186" s="35">
        <v>5</v>
      </c>
      <c r="W186" s="35">
        <v>8</v>
      </c>
      <c r="X186" s="35">
        <v>12</v>
      </c>
      <c r="Y186" s="40">
        <f t="shared" si="8"/>
        <v>0.2</v>
      </c>
      <c r="Z186" s="40">
        <f t="shared" si="8"/>
        <v>-0.4</v>
      </c>
      <c r="AA186" s="41">
        <f t="shared" si="9"/>
        <v>0.26666666666666666</v>
      </c>
      <c r="AB186" s="42">
        <v>1.5</v>
      </c>
      <c r="AC186" s="43">
        <v>60</v>
      </c>
      <c r="AD186" s="43">
        <v>50</v>
      </c>
      <c r="AE186" s="44">
        <v>5</v>
      </c>
    </row>
  </sheetData>
  <mergeCells count="2">
    <mergeCell ref="A1:AE1"/>
    <mergeCell ref="A181:I1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AMIT GUPTA</cp:lastModifiedBy>
  <dcterms:created xsi:type="dcterms:W3CDTF">2015-06-05T18:17:20Z</dcterms:created>
  <dcterms:modified xsi:type="dcterms:W3CDTF">2026-05-16T19:37:48Z</dcterms:modified>
</cp:coreProperties>
</file>